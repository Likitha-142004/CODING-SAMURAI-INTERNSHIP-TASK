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enovo\Desktop\"/>
    </mc:Choice>
  </mc:AlternateContent>
  <bookViews>
    <workbookView xWindow="0" yWindow="0" windowWidth="20490" windowHeight="7755"/>
  </bookViews>
  <sheets>
    <sheet name="Source Data" sheetId="3" r:id="rId1"/>
    <sheet name="Pivot Tables" sheetId="6" r:id="rId2"/>
    <sheet name="Employee Demographic Dashboard" sheetId="7" r:id="rId3"/>
    <sheet name="Analysis" sheetId="12" r:id="rId4"/>
  </sheets>
  <definedNames>
    <definedName name="Slicer_Age">#N/A</definedName>
    <definedName name="Slicer_Department">#N/A</definedName>
    <definedName name="Slicer_Gender">#N/A</definedName>
    <definedName name="Slicer_Salary">#N/A</definedName>
  </definedNames>
  <calcPr calcId="152511"/>
  <pivotCaches>
    <pivotCache cacheId="26" r:id="rId5"/>
    <pivotCache cacheId="24" r:id="rId6"/>
    <pivotCache cacheId="15" r:id="rId7"/>
    <pivotCache cacheId="2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<sst xmlns="http://schemas.openxmlformats.org/spreadsheetml/2006/main" count="179" uniqueCount="41">
  <si>
    <t>Age</t>
  </si>
  <si>
    <t>Gender</t>
  </si>
  <si>
    <t>Department</t>
  </si>
  <si>
    <t>Salary</t>
  </si>
  <si>
    <t>Male</t>
  </si>
  <si>
    <t>Engineering</t>
  </si>
  <si>
    <t>Female</t>
  </si>
  <si>
    <t>Sales</t>
  </si>
  <si>
    <t>Finance</t>
  </si>
  <si>
    <t>Marketing</t>
  </si>
  <si>
    <t>HR</t>
  </si>
  <si>
    <t>Headcount</t>
  </si>
  <si>
    <t>Row Labels</t>
  </si>
  <si>
    <t>Sum of Age</t>
  </si>
  <si>
    <t>Grand Total</t>
  </si>
  <si>
    <t>Sum of Salary</t>
  </si>
  <si>
    <t xml:space="preserve">Sum of Age </t>
  </si>
  <si>
    <t>(All)</t>
  </si>
  <si>
    <t>Total Salary</t>
  </si>
  <si>
    <t>Count of Gender</t>
  </si>
  <si>
    <t>Employees by Department</t>
  </si>
  <si>
    <t>Age by Gender</t>
  </si>
  <si>
    <t>Salary by Age</t>
  </si>
  <si>
    <t>Departmental Analysis</t>
  </si>
  <si>
    <t>Salary Range</t>
  </si>
  <si>
    <t>Observation</t>
  </si>
  <si>
    <t>Largest department; consistent pay scale.</t>
  </si>
  <si>
    <t>Generally represents the lower salary tier.</t>
  </si>
  <si>
    <t>Moderate spread in pay and age.</t>
  </si>
  <si>
    <t>Consistently high earning bracket.</t>
  </si>
  <si>
    <t>Key Insights</t>
  </si>
  <si>
    <t>The table covers five distinct departments with varying salary levels</t>
  </si>
  <si>
    <t>60k – 93k</t>
  </si>
  <si>
    <t>48k – 80k</t>
  </si>
  <si>
    <t>59k – 97k</t>
  </si>
  <si>
    <t>75k – 110k</t>
  </si>
  <si>
    <t>84k – 126k</t>
  </si>
  <si>
    <t>Highest average pay, includes the top earner.</t>
  </si>
  <si>
    <t>Top Earner: A 57-year-old Male in Engineering with a salary of Rs.126,561</t>
  </si>
  <si>
    <t>Lowest Earner: A 25-year-old Female in HR with a salary of Rs.48,797</t>
  </si>
  <si>
    <t>Salary Trend: There is a clear positive correlation between specialized departments (Engineering/Finance) and higher compensation levels compared to Sales or HR.</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</si>
</sst>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4"/>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xf>
    <xf numFmtId="0" fontId="1" fillId="0" borderId="0" xfId="0" applyFont="1" applyAlignment="1">
      <alignment horizontal="center" vertical="center"/>
    </xf>
    <xf numFmtId="0" fontId="2" fillId="0" borderId="0" xfId="0" applyFont="1" applyAlignment="1">
      <alignment horizontal="center"/>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xf>
    <xf numFmtId="0" fontId="4" fillId="2" borderId="0" xfId="0" applyFont="1" applyFill="1" applyAlignment="1">
      <alignment horizontal="center"/>
    </xf>
    <xf numFmtId="0" fontId="2"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center"/>
    </xf>
    <xf numFmtId="0" fontId="5"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xf>
    <xf numFmtId="0" fontId="6" fillId="0" borderId="0" xfId="0" applyFont="1" applyAlignment="1">
      <alignment vertical="center"/>
    </xf>
    <xf numFmtId="0" fontId="6" fillId="0" borderId="0" xfId="0" applyFont="1" applyAlignment="1">
      <alignment horizontal="left" vertical="center"/>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horizontal="center" vertical="center" wrapText="1"/>
    </xf>
    <xf numFmtId="0" fontId="4" fillId="0" borderId="1" xfId="0" applyFont="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cellXfs>
  <cellStyles count="1">
    <cellStyle name="Normal" xfId="0" builtinId="0"/>
  </cellStyles>
  <dxfs count="6">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Demographics Analysis.xlsx]Pivot 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by Gender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Tables'!$G$17:$G$19</c:f>
              <c:strCache>
                <c:ptCount val="2"/>
                <c:pt idx="0">
                  <c:v>Female</c:v>
                </c:pt>
                <c:pt idx="1">
                  <c:v>Male</c:v>
                </c:pt>
              </c:strCache>
            </c:strRef>
          </c:cat>
          <c:val>
            <c:numRef>
              <c:f>'Pivot Tables'!$H$17:$H$19</c:f>
              <c:numCache>
                <c:formatCode>General</c:formatCode>
                <c:ptCount val="2"/>
                <c:pt idx="0">
                  <c:v>914</c:v>
                </c:pt>
                <c:pt idx="1">
                  <c:v>890</c:v>
                </c:pt>
              </c:numCache>
            </c:numRef>
          </c:val>
        </c:ser>
        <c:dLbls>
          <c:dLblPos val="outEnd"/>
          <c:showLegendKey val="0"/>
          <c:showVal val="1"/>
          <c:showCatName val="0"/>
          <c:showSerName val="0"/>
          <c:showPercent val="0"/>
          <c:showBubbleSize val="0"/>
        </c:dLbls>
        <c:gapWidth val="219"/>
        <c:overlap val="-27"/>
        <c:axId val="386253304"/>
        <c:axId val="386252912"/>
      </c:barChart>
      <c:catAx>
        <c:axId val="386253304"/>
        <c:scaling>
          <c:orientation val="minMax"/>
        </c:scaling>
        <c:delete val="1"/>
        <c:axPos val="b"/>
        <c:numFmt formatCode="General" sourceLinked="1"/>
        <c:majorTickMark val="none"/>
        <c:minorTickMark val="none"/>
        <c:tickLblPos val="nextTo"/>
        <c:crossAx val="386252912"/>
        <c:crosses val="autoZero"/>
        <c:auto val="1"/>
        <c:lblAlgn val="ctr"/>
        <c:lblOffset val="100"/>
        <c:noMultiLvlLbl val="0"/>
      </c:catAx>
      <c:valAx>
        <c:axId val="386252912"/>
        <c:scaling>
          <c:orientation val="minMax"/>
        </c:scaling>
        <c:delete val="1"/>
        <c:axPos val="l"/>
        <c:numFmt formatCode="General" sourceLinked="1"/>
        <c:majorTickMark val="none"/>
        <c:minorTickMark val="none"/>
        <c:tickLblPos val="nextTo"/>
        <c:crossAx val="386253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Demographics Analysis.xlsx]Pivot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Tables'!$H$4:$H$9</c:f>
              <c:strCache>
                <c:ptCount val="5"/>
                <c:pt idx="0">
                  <c:v>Engineering</c:v>
                </c:pt>
                <c:pt idx="1">
                  <c:v>Finance</c:v>
                </c:pt>
                <c:pt idx="2">
                  <c:v>HR</c:v>
                </c:pt>
                <c:pt idx="3">
                  <c:v>Marketing</c:v>
                </c:pt>
                <c:pt idx="4">
                  <c:v>Sales</c:v>
                </c:pt>
              </c:strCache>
            </c:strRef>
          </c:cat>
          <c:val>
            <c:numRef>
              <c:f>'Pivot Tables'!$I$4:$I$9</c:f>
              <c:numCache>
                <c:formatCode>General</c:formatCode>
                <c:ptCount val="5"/>
                <c:pt idx="0">
                  <c:v>6</c:v>
                </c:pt>
                <c:pt idx="1">
                  <c:v>9</c:v>
                </c:pt>
                <c:pt idx="2">
                  <c:v>11</c:v>
                </c:pt>
                <c:pt idx="3">
                  <c:v>8</c:v>
                </c:pt>
                <c:pt idx="4">
                  <c:v>13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Demographics Analysis.xlsx]Pivot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Tables'!$D$17:$D$22</c:f>
              <c:strCache>
                <c:ptCount val="5"/>
                <c:pt idx="0">
                  <c:v>Engineering</c:v>
                </c:pt>
                <c:pt idx="1">
                  <c:v>Finance</c:v>
                </c:pt>
                <c:pt idx="2">
                  <c:v>HR</c:v>
                </c:pt>
                <c:pt idx="3">
                  <c:v>Marketing</c:v>
                </c:pt>
                <c:pt idx="4">
                  <c:v>Sales</c:v>
                </c:pt>
              </c:strCache>
            </c:strRef>
          </c:cat>
          <c:val>
            <c:numRef>
              <c:f>'Pivot Tables'!$E$17:$E$22</c:f>
              <c:numCache>
                <c:formatCode>General</c:formatCode>
                <c:ptCount val="5"/>
                <c:pt idx="0">
                  <c:v>639762</c:v>
                </c:pt>
                <c:pt idx="1">
                  <c:v>832233</c:v>
                </c:pt>
                <c:pt idx="2">
                  <c:v>724173</c:v>
                </c:pt>
                <c:pt idx="3">
                  <c:v>617583</c:v>
                </c:pt>
                <c:pt idx="4">
                  <c:v>988865</c:v>
                </c:pt>
              </c:numCache>
            </c:numRef>
          </c:val>
        </c:ser>
        <c:dLbls>
          <c:dLblPos val="outEnd"/>
          <c:showLegendKey val="0"/>
          <c:showVal val="1"/>
          <c:showCatName val="0"/>
          <c:showSerName val="0"/>
          <c:showPercent val="0"/>
          <c:showBubbleSize val="0"/>
        </c:dLbls>
        <c:gapWidth val="219"/>
        <c:overlap val="-27"/>
        <c:axId val="384661184"/>
        <c:axId val="384661576"/>
      </c:barChart>
      <c:catAx>
        <c:axId val="384661184"/>
        <c:scaling>
          <c:orientation val="minMax"/>
        </c:scaling>
        <c:delete val="1"/>
        <c:axPos val="b"/>
        <c:numFmt formatCode="General" sourceLinked="1"/>
        <c:majorTickMark val="out"/>
        <c:minorTickMark val="none"/>
        <c:tickLblPos val="nextTo"/>
        <c:crossAx val="384661576"/>
        <c:crosses val="autoZero"/>
        <c:auto val="1"/>
        <c:lblAlgn val="ctr"/>
        <c:lblOffset val="100"/>
        <c:noMultiLvlLbl val="0"/>
      </c:catAx>
      <c:valAx>
        <c:axId val="384661576"/>
        <c:scaling>
          <c:orientation val="minMax"/>
        </c:scaling>
        <c:delete val="1"/>
        <c:axPos val="l"/>
        <c:numFmt formatCode="General" sourceLinked="1"/>
        <c:majorTickMark val="out"/>
        <c:minorTickMark val="none"/>
        <c:tickLblPos val="nextTo"/>
        <c:crossAx val="384661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Demographics Analysis.xlsx]Pivot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Tables'!$E$4:$E$9</c:f>
              <c:strCache>
                <c:ptCount val="5"/>
                <c:pt idx="0">
                  <c:v>Engineering</c:v>
                </c:pt>
                <c:pt idx="1">
                  <c:v>Finance</c:v>
                </c:pt>
                <c:pt idx="2">
                  <c:v>HR</c:v>
                </c:pt>
                <c:pt idx="3">
                  <c:v>Marketing</c:v>
                </c:pt>
                <c:pt idx="4">
                  <c:v>Sales</c:v>
                </c:pt>
              </c:strCache>
            </c:strRef>
          </c:cat>
          <c:val>
            <c:numRef>
              <c:f>'Pivot Tables'!$F$4:$F$9</c:f>
              <c:numCache>
                <c:formatCode>General</c:formatCode>
                <c:ptCount val="5"/>
                <c:pt idx="0">
                  <c:v>639762</c:v>
                </c:pt>
                <c:pt idx="1">
                  <c:v>832233</c:v>
                </c:pt>
                <c:pt idx="2">
                  <c:v>724173</c:v>
                </c:pt>
                <c:pt idx="3">
                  <c:v>617583</c:v>
                </c:pt>
                <c:pt idx="4">
                  <c:v>988865</c:v>
                </c:pt>
              </c:numCache>
            </c:numRef>
          </c:val>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Demographics Analysis.xlsx]Pivot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Age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Tables'!$B$4:$B$9</c:f>
              <c:strCache>
                <c:ptCount val="5"/>
                <c:pt idx="0">
                  <c:v>Engineering</c:v>
                </c:pt>
                <c:pt idx="1">
                  <c:v>Finance</c:v>
                </c:pt>
                <c:pt idx="2">
                  <c:v>HR</c:v>
                </c:pt>
                <c:pt idx="3">
                  <c:v>Marketing</c:v>
                </c:pt>
                <c:pt idx="4">
                  <c:v>Sales</c:v>
                </c:pt>
              </c:strCache>
            </c:strRef>
          </c:cat>
          <c:val>
            <c:numRef>
              <c:f>'Pivot Tables'!$C$4:$C$9</c:f>
              <c:numCache>
                <c:formatCode>General</c:formatCode>
                <c:ptCount val="5"/>
                <c:pt idx="0">
                  <c:v>267</c:v>
                </c:pt>
                <c:pt idx="1">
                  <c:v>366</c:v>
                </c:pt>
                <c:pt idx="2">
                  <c:v>389</c:v>
                </c:pt>
                <c:pt idx="3">
                  <c:v>322</c:v>
                </c:pt>
                <c:pt idx="4">
                  <c:v>460</c:v>
                </c:pt>
              </c:numCache>
            </c:numRef>
          </c:val>
        </c:ser>
        <c:dLbls>
          <c:dLblPos val="outEnd"/>
          <c:showLegendKey val="0"/>
          <c:showVal val="1"/>
          <c:showCatName val="0"/>
          <c:showSerName val="0"/>
          <c:showPercent val="0"/>
          <c:showBubbleSize val="0"/>
        </c:dLbls>
        <c:gapWidth val="219"/>
        <c:overlap val="-27"/>
        <c:axId val="385902696"/>
        <c:axId val="385903872"/>
      </c:barChart>
      <c:catAx>
        <c:axId val="385902696"/>
        <c:scaling>
          <c:orientation val="minMax"/>
        </c:scaling>
        <c:delete val="1"/>
        <c:axPos val="b"/>
        <c:numFmt formatCode="General" sourceLinked="1"/>
        <c:majorTickMark val="out"/>
        <c:minorTickMark val="none"/>
        <c:tickLblPos val="nextTo"/>
        <c:crossAx val="385903872"/>
        <c:crosses val="autoZero"/>
        <c:auto val="1"/>
        <c:lblAlgn val="ctr"/>
        <c:lblOffset val="100"/>
        <c:noMultiLvlLbl val="0"/>
      </c:catAx>
      <c:valAx>
        <c:axId val="385903872"/>
        <c:scaling>
          <c:orientation val="minMax"/>
        </c:scaling>
        <c:delete val="1"/>
        <c:axPos val="l"/>
        <c:numFmt formatCode="General" sourceLinked="1"/>
        <c:majorTickMark val="out"/>
        <c:minorTickMark val="none"/>
        <c:tickLblPos val="nextTo"/>
        <c:crossAx val="385902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Demographics Analysis.xlsx]Pivot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Demographics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Tables'!$K$15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Tables'!$J$16:$J$21</c:f>
              <c:strCache>
                <c:ptCount val="5"/>
                <c:pt idx="0">
                  <c:v>Engineering</c:v>
                </c:pt>
                <c:pt idx="1">
                  <c:v>Finance</c:v>
                </c:pt>
                <c:pt idx="2">
                  <c:v>HR</c:v>
                </c:pt>
                <c:pt idx="3">
                  <c:v>Marketing</c:v>
                </c:pt>
                <c:pt idx="4">
                  <c:v>Sales</c:v>
                </c:pt>
              </c:strCache>
            </c:strRef>
          </c:cat>
          <c:val>
            <c:numRef>
              <c:f>'Pivot Tables'!$K$16:$K$21</c:f>
              <c:numCache>
                <c:formatCode>General</c:formatCode>
                <c:ptCount val="5"/>
                <c:pt idx="0">
                  <c:v>639762</c:v>
                </c:pt>
                <c:pt idx="1">
                  <c:v>832233</c:v>
                </c:pt>
                <c:pt idx="2">
                  <c:v>724173</c:v>
                </c:pt>
                <c:pt idx="3">
                  <c:v>617583</c:v>
                </c:pt>
                <c:pt idx="4">
                  <c:v>988865</c:v>
                </c:pt>
              </c:numCache>
            </c:numRef>
          </c:val>
        </c:ser>
        <c:dLbls>
          <c:dLblPos val="outEnd"/>
          <c:showLegendKey val="0"/>
          <c:showVal val="1"/>
          <c:showCatName val="0"/>
          <c:showSerName val="0"/>
          <c:showPercent val="0"/>
          <c:showBubbleSize val="0"/>
        </c:dLbls>
        <c:gapWidth val="219"/>
        <c:overlap val="-27"/>
        <c:axId val="383550616"/>
        <c:axId val="383551400"/>
      </c:barChart>
      <c:catAx>
        <c:axId val="383550616"/>
        <c:scaling>
          <c:orientation val="minMax"/>
        </c:scaling>
        <c:delete val="1"/>
        <c:axPos val="b"/>
        <c:numFmt formatCode="General" sourceLinked="1"/>
        <c:majorTickMark val="none"/>
        <c:minorTickMark val="none"/>
        <c:tickLblPos val="nextTo"/>
        <c:crossAx val="383551400"/>
        <c:crosses val="autoZero"/>
        <c:auto val="1"/>
        <c:lblAlgn val="ctr"/>
        <c:lblOffset val="100"/>
        <c:noMultiLvlLbl val="0"/>
      </c:catAx>
      <c:valAx>
        <c:axId val="383551400"/>
        <c:scaling>
          <c:orientation val="minMax"/>
        </c:scaling>
        <c:delete val="1"/>
        <c:axPos val="l"/>
        <c:numFmt formatCode="General" sourceLinked="1"/>
        <c:majorTickMark val="none"/>
        <c:minorTickMark val="none"/>
        <c:tickLblPos val="nextTo"/>
        <c:crossAx val="383550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2</xdr:col>
      <xdr:colOff>0</xdr:colOff>
      <xdr:row>9</xdr:row>
      <xdr:rowOff>142875</xdr:rowOff>
    </xdr:to>
    <mc:AlternateContent xmlns:mc="http://schemas.openxmlformats.org/markup-compatibility/2006">
      <mc:Choice xmlns:a14="http://schemas.microsoft.com/office/drawing/2010/main" Requires="a14">
        <xdr:graphicFrame macro="">
          <xdr:nvGraphicFramePr>
            <xdr:cNvPr id="3" name="Salary"/>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142875" y="114300"/>
              <a:ext cx="1590675"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295275</xdr:colOff>
      <xdr:row>0</xdr:row>
      <xdr:rowOff>123825</xdr:rowOff>
    </xdr:from>
    <xdr:to>
      <xdr:col>10</xdr:col>
      <xdr:colOff>295275</xdr:colOff>
      <xdr:row>9</xdr:row>
      <xdr:rowOff>152399</xdr:rowOff>
    </xdr:to>
    <mc:AlternateContent xmlns:mc="http://schemas.openxmlformats.org/markup-compatibility/2006">
      <mc:Choice xmlns:a14="http://schemas.microsoft.com/office/drawing/2010/main"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200650" y="123825"/>
              <a:ext cx="1828800" cy="174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8</xdr:row>
      <xdr:rowOff>104775</xdr:rowOff>
    </xdr:from>
    <xdr:to>
      <xdr:col>18</xdr:col>
      <xdr:colOff>266700</xdr:colOff>
      <xdr:row>13</xdr:row>
      <xdr:rowOff>133350</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048875" y="1628775"/>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228600</xdr:colOff>
      <xdr:row>0</xdr:row>
      <xdr:rowOff>95250</xdr:rowOff>
    </xdr:from>
    <xdr:to>
      <xdr:col>18</xdr:col>
      <xdr:colOff>228600</xdr:colOff>
      <xdr:row>7</xdr:row>
      <xdr:rowOff>133350</xdr:rowOff>
    </xdr:to>
    <mc:AlternateContent xmlns:mc="http://schemas.openxmlformats.org/markup-compatibility/2006">
      <mc:Choice xmlns:a14="http://schemas.microsoft.com/office/drawing/2010/main" Requires="a14">
        <xdr:graphicFrame macro="">
          <xdr:nvGraphicFramePr>
            <xdr:cNvPr id="6"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0010775" y="9525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266700</xdr:colOff>
      <xdr:row>0</xdr:row>
      <xdr:rowOff>76200</xdr:rowOff>
    </xdr:from>
    <xdr:to>
      <xdr:col>7</xdr:col>
      <xdr:colOff>66675</xdr:colOff>
      <xdr:row>11</xdr:row>
      <xdr:rowOff>14288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504825</xdr:colOff>
      <xdr:row>0</xdr:row>
      <xdr:rowOff>133351</xdr:rowOff>
    </xdr:from>
    <xdr:to>
      <xdr:col>15</xdr:col>
      <xdr:colOff>0</xdr:colOff>
      <xdr:row>12</xdr:row>
      <xdr:rowOff>152401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542925</xdr:colOff>
      <xdr:row>15</xdr:row>
      <xdr:rowOff>38100</xdr:rowOff>
    </xdr:from>
    <xdr:to>
      <xdr:col>17</xdr:col>
      <xdr:colOff>447675</xdr:colOff>
      <xdr:row>27</xdr:row>
      <xdr:rowOff>71438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11</xdr:row>
      <xdr:rowOff>114300</xdr:rowOff>
    </xdr:from>
    <xdr:to>
      <xdr:col>5</xdr:col>
      <xdr:colOff>57150</xdr:colOff>
      <xdr:row>23</xdr:row>
      <xdr:rowOff>71438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276225</xdr:colOff>
      <xdr:row>12</xdr:row>
      <xdr:rowOff>152400</xdr:rowOff>
    </xdr:from>
    <xdr:to>
      <xdr:col>10</xdr:col>
      <xdr:colOff>419099</xdr:colOff>
      <xdr:row>23</xdr:row>
      <xdr:rowOff>14289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266700</xdr:colOff>
      <xdr:row>2</xdr:row>
      <xdr:rowOff>171450</xdr:rowOff>
    </xdr:from>
    <xdr:to>
      <xdr:col>24</xdr:col>
      <xdr:colOff>476250</xdr:colOff>
      <xdr:row>13</xdr:row>
      <xdr:rowOff>138113</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Lenovo" refreshedDate="46169.728970254633" createdVersion="5" refreshedVersion="5" minRefreshableVersion="3" recordCount="47">
  <cacheSource type="worksheet">
    <worksheetSource name="Table1"/>
  </cacheSource>
  <cacheFields count="4">
    <cacheField name="Gender" numFmtId="0">
      <sharedItems count="2">
        <s v="Male"/>
        <s v="Female"/>
      </sharedItems>
    </cacheField>
    <cacheField name="Age" numFmtId="0">
      <sharedItems containsSemiMixedTypes="0" containsString="0" containsNumber="1" containsInteger="1" minValue="23" maxValue="58" count="29">
        <n v="29"/>
        <n v="32"/>
        <n v="45"/>
        <n v="23"/>
        <n v="48"/>
        <n v="49"/>
        <n v="37"/>
        <n v="36"/>
        <n v="24"/>
        <n v="42"/>
        <n v="47"/>
        <n v="25"/>
        <n v="40"/>
        <n v="51"/>
        <n v="58"/>
        <n v="35"/>
        <n v="28"/>
        <n v="38"/>
        <n v="44"/>
        <n v="43"/>
        <n v="30"/>
        <n v="39"/>
        <n v="46"/>
        <n v="41"/>
        <n v="27"/>
        <n v="57"/>
        <n v="33"/>
        <n v="50"/>
        <n v="54"/>
      </sharedItems>
    </cacheField>
    <cacheField name="Department" numFmtId="0">
      <sharedItems count="5">
        <s v="Sales"/>
        <s v="Marketing"/>
        <s v="HR"/>
        <s v="Finance"/>
        <s v="Engineering"/>
      </sharedItems>
    </cacheField>
    <cacheField name="Salary" numFmtId="0">
      <sharedItems containsSemiMixedTypes="0" containsString="0" containsNumber="1" containsInteger="1" minValue="48797" maxValue="126561"/>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169.72936203704" createdVersion="5" refreshedVersion="5" minRefreshableVersion="3" recordCount="47">
  <cacheSource type="worksheet">
    <worksheetSource name="Table1"/>
  </cacheSource>
  <cacheFields count="4">
    <cacheField name="Gender" numFmtId="0">
      <sharedItems/>
    </cacheField>
    <cacheField name="Age" numFmtId="0">
      <sharedItems containsSemiMixedTypes="0" containsString="0" containsNumber="1" containsInteger="1" minValue="23" maxValue="58"/>
    </cacheField>
    <cacheField name="Department" numFmtId="0">
      <sharedItems count="5">
        <s v="Sales"/>
        <s v="Marketing"/>
        <s v="HR"/>
        <s v="Finance"/>
        <s v="Engineering"/>
      </sharedItems>
    </cacheField>
    <cacheField name="Salary" numFmtId="0">
      <sharedItems containsSemiMixedTypes="0" containsString="0" containsNumber="1" containsInteger="1" minValue="48797" maxValue="126561" count="47">
        <n v="65253"/>
        <n v="74554"/>
        <n v="84236"/>
        <n v="64364"/>
        <n v="61449"/>
        <n v="91131"/>
        <n v="90910"/>
        <n v="73202"/>
        <n v="76018"/>
        <n v="66358"/>
        <n v="87004"/>
        <n v="93800"/>
        <n v="60586"/>
        <n v="72891"/>
        <n v="92192"/>
        <n v="97589"/>
        <n v="67530"/>
        <n v="84911"/>
        <n v="67186"/>
        <n v="75746"/>
        <n v="59538"/>
        <n v="74981"/>
        <n v="80125"/>
        <n v="57531"/>
        <n v="73177"/>
        <n v="48797"/>
        <n v="80925"/>
        <n v="60887"/>
        <n v="72082"/>
        <n v="54059"/>
        <n v="67698"/>
        <n v="53911"/>
        <n v="95585"/>
        <n v="84280"/>
        <n v="110696"/>
        <n v="93298"/>
        <n v="91054"/>
        <n v="98455"/>
        <n v="83991"/>
        <n v="99335"/>
        <n v="75539"/>
        <n v="112363"/>
        <n v="97032"/>
        <n v="104172"/>
        <n v="115107"/>
        <n v="84527"/>
        <n v="126561"/>
      </sharedItems>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r:id="rId1" refreshedBy="Lenovo" refreshedDate="46169.729578125" createdVersion="5" refreshedVersion="5" minRefreshableVersion="3" recordCount="47">
  <cacheSource type="worksheet">
    <worksheetSource name="Table1"/>
  </cacheSource>
  <cacheFields count="4">
    <cacheField name="Gender" numFmtId="0">
      <sharedItems count="2">
        <s v="Male"/>
        <s v="Female"/>
      </sharedItems>
    </cacheField>
    <cacheField name="Age" numFmtId="0">
      <sharedItems containsSemiMixedTypes="0" containsString="0" containsNumber="1" containsInteger="1" minValue="23" maxValue="58"/>
    </cacheField>
    <cacheField name="Department" numFmtId="0">
      <sharedItems count="5">
        <s v="Sales"/>
        <s v="Marketing"/>
        <s v="HR"/>
        <s v="Finance"/>
        <s v="Engineering"/>
      </sharedItems>
    </cacheField>
    <cacheField name="Salary" numFmtId="0">
      <sharedItems containsSemiMixedTypes="0" containsString="0" containsNumber="1" containsInteger="1" minValue="48797" maxValue="126561"/>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r:id="rId1" refreshedBy="Lenovo" refreshedDate="46169.730535995368" createdVersion="5" refreshedVersion="5" minRefreshableVersion="3" recordCount="47">
  <cacheSource type="worksheet">
    <worksheetSource name="Table1"/>
  </cacheSource>
  <cacheFields count="4">
    <cacheField name="Gender" numFmtId="0">
      <sharedItems count="2">
        <s v="Male"/>
        <s v="Female"/>
      </sharedItems>
    </cacheField>
    <cacheField name="Age" numFmtId="0">
      <sharedItems containsSemiMixedTypes="0" containsString="0" containsNumber="1" containsInteger="1" minValue="23" maxValue="58"/>
    </cacheField>
    <cacheField name="Department" numFmtId="0">
      <sharedItems count="5">
        <s v="Sales"/>
        <s v="Marketing"/>
        <s v="HR"/>
        <s v="Finance"/>
        <s v="Engineering"/>
      </sharedItems>
    </cacheField>
    <cacheField name="Salary" numFmtId="0">
      <sharedItems containsSemiMixedTypes="0" containsString="0" containsNumber="1" containsInteger="1" minValue="48797" maxValue="126561"/>
    </cacheField>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count="47">
  <r>
    <x v="0"/>
    <x v="0"/>
    <x v="0"/>
    <n v="65253"/>
  </r>
  <r>
    <x v="1"/>
    <x v="1"/>
    <x v="0"/>
    <n v="74554"/>
  </r>
  <r>
    <x v="0"/>
    <x v="2"/>
    <x v="0"/>
    <n v="84236"/>
  </r>
  <r>
    <x v="1"/>
    <x v="3"/>
    <x v="0"/>
    <n v="64364"/>
  </r>
  <r>
    <x v="1"/>
    <x v="3"/>
    <x v="0"/>
    <n v="61449"/>
  </r>
  <r>
    <x v="0"/>
    <x v="4"/>
    <x v="0"/>
    <n v="91131"/>
  </r>
  <r>
    <x v="0"/>
    <x v="5"/>
    <x v="0"/>
    <n v="90910"/>
  </r>
  <r>
    <x v="0"/>
    <x v="6"/>
    <x v="0"/>
    <n v="73202"/>
  </r>
  <r>
    <x v="0"/>
    <x v="7"/>
    <x v="0"/>
    <n v="76018"/>
  </r>
  <r>
    <x v="1"/>
    <x v="8"/>
    <x v="0"/>
    <n v="66358"/>
  </r>
  <r>
    <x v="1"/>
    <x v="9"/>
    <x v="0"/>
    <n v="87004"/>
  </r>
  <r>
    <x v="1"/>
    <x v="10"/>
    <x v="0"/>
    <n v="93800"/>
  </r>
  <r>
    <x v="0"/>
    <x v="11"/>
    <x v="0"/>
    <n v="60586"/>
  </r>
  <r>
    <x v="0"/>
    <x v="12"/>
    <x v="1"/>
    <n v="72891"/>
  </r>
  <r>
    <x v="1"/>
    <x v="13"/>
    <x v="1"/>
    <n v="92192"/>
  </r>
  <r>
    <x v="1"/>
    <x v="14"/>
    <x v="1"/>
    <n v="97589"/>
  </r>
  <r>
    <x v="0"/>
    <x v="15"/>
    <x v="1"/>
    <n v="67530"/>
  </r>
  <r>
    <x v="0"/>
    <x v="5"/>
    <x v="1"/>
    <n v="84911"/>
  </r>
  <r>
    <x v="1"/>
    <x v="16"/>
    <x v="1"/>
    <n v="67186"/>
  </r>
  <r>
    <x v="1"/>
    <x v="17"/>
    <x v="1"/>
    <n v="75746"/>
  </r>
  <r>
    <x v="0"/>
    <x v="3"/>
    <x v="1"/>
    <n v="59538"/>
  </r>
  <r>
    <x v="0"/>
    <x v="18"/>
    <x v="2"/>
    <n v="74981"/>
  </r>
  <r>
    <x v="0"/>
    <x v="19"/>
    <x v="2"/>
    <n v="80125"/>
  </r>
  <r>
    <x v="1"/>
    <x v="20"/>
    <x v="2"/>
    <n v="57531"/>
  </r>
  <r>
    <x v="1"/>
    <x v="21"/>
    <x v="2"/>
    <n v="73177"/>
  </r>
  <r>
    <x v="1"/>
    <x v="11"/>
    <x v="2"/>
    <n v="48797"/>
  </r>
  <r>
    <x v="0"/>
    <x v="22"/>
    <x v="2"/>
    <n v="80925"/>
  </r>
  <r>
    <x v="0"/>
    <x v="20"/>
    <x v="2"/>
    <n v="60887"/>
  </r>
  <r>
    <x v="1"/>
    <x v="23"/>
    <x v="2"/>
    <n v="72082"/>
  </r>
  <r>
    <x v="0"/>
    <x v="0"/>
    <x v="2"/>
    <n v="54059"/>
  </r>
  <r>
    <x v="1"/>
    <x v="15"/>
    <x v="2"/>
    <n v="67698"/>
  </r>
  <r>
    <x v="1"/>
    <x v="24"/>
    <x v="2"/>
    <n v="53911"/>
  </r>
  <r>
    <x v="1"/>
    <x v="9"/>
    <x v="3"/>
    <n v="95585"/>
  </r>
  <r>
    <x v="1"/>
    <x v="1"/>
    <x v="3"/>
    <n v="84280"/>
  </r>
  <r>
    <x v="1"/>
    <x v="25"/>
    <x v="3"/>
    <n v="110696"/>
  </r>
  <r>
    <x v="1"/>
    <x v="2"/>
    <x v="3"/>
    <n v="93298"/>
  </r>
  <r>
    <x v="1"/>
    <x v="19"/>
    <x v="3"/>
    <n v="91054"/>
  </r>
  <r>
    <x v="1"/>
    <x v="2"/>
    <x v="3"/>
    <n v="98455"/>
  </r>
  <r>
    <x v="0"/>
    <x v="26"/>
    <x v="3"/>
    <n v="83991"/>
  </r>
  <r>
    <x v="0"/>
    <x v="22"/>
    <x v="3"/>
    <n v="99335"/>
  </r>
  <r>
    <x v="1"/>
    <x v="3"/>
    <x v="3"/>
    <n v="75539"/>
  </r>
  <r>
    <x v="0"/>
    <x v="27"/>
    <x v="4"/>
    <n v="112363"/>
  </r>
  <r>
    <x v="1"/>
    <x v="7"/>
    <x v="4"/>
    <n v="97032"/>
  </r>
  <r>
    <x v="0"/>
    <x v="9"/>
    <x v="4"/>
    <n v="104172"/>
  </r>
  <r>
    <x v="0"/>
    <x v="28"/>
    <x v="4"/>
    <n v="115107"/>
  </r>
  <r>
    <x v="1"/>
    <x v="16"/>
    <x v="4"/>
    <n v="84527"/>
  </r>
  <r>
    <x v="0"/>
    <x v="25"/>
    <x v="4"/>
    <n v="126561"/>
  </r>
</pivotCacheRecords>
</file>

<file path=xl/pivotCache/pivotCacheRecords2.xml><?xml version="1.0" encoding="utf-8"?>
<pivotCacheRecords xmlns="http://schemas.openxmlformats.org/spreadsheetml/2006/main" xmlns:r="http://schemas.openxmlformats.org/officeDocument/2006/relationships" count="47">
  <r>
    <s v="Male"/>
    <n v="29"/>
    <x v="0"/>
    <x v="0"/>
  </r>
  <r>
    <s v="Female"/>
    <n v="32"/>
    <x v="0"/>
    <x v="1"/>
  </r>
  <r>
    <s v="Male"/>
    <n v="45"/>
    <x v="0"/>
    <x v="2"/>
  </r>
  <r>
    <s v="Female"/>
    <n v="23"/>
    <x v="0"/>
    <x v="3"/>
  </r>
  <r>
    <s v="Female"/>
    <n v="23"/>
    <x v="0"/>
    <x v="4"/>
  </r>
  <r>
    <s v="Male"/>
    <n v="48"/>
    <x v="0"/>
    <x v="5"/>
  </r>
  <r>
    <s v="Male"/>
    <n v="49"/>
    <x v="0"/>
    <x v="6"/>
  </r>
  <r>
    <s v="Male"/>
    <n v="37"/>
    <x v="0"/>
    <x v="7"/>
  </r>
  <r>
    <s v="Male"/>
    <n v="36"/>
    <x v="0"/>
    <x v="8"/>
  </r>
  <r>
    <s v="Female"/>
    <n v="24"/>
    <x v="0"/>
    <x v="9"/>
  </r>
  <r>
    <s v="Female"/>
    <n v="42"/>
    <x v="0"/>
    <x v="10"/>
  </r>
  <r>
    <s v="Female"/>
    <n v="47"/>
    <x v="0"/>
    <x v="11"/>
  </r>
  <r>
    <s v="Male"/>
    <n v="25"/>
    <x v="0"/>
    <x v="12"/>
  </r>
  <r>
    <s v="Male"/>
    <n v="40"/>
    <x v="1"/>
    <x v="13"/>
  </r>
  <r>
    <s v="Female"/>
    <n v="51"/>
    <x v="1"/>
    <x v="14"/>
  </r>
  <r>
    <s v="Female"/>
    <n v="58"/>
    <x v="1"/>
    <x v="15"/>
  </r>
  <r>
    <s v="Male"/>
    <n v="35"/>
    <x v="1"/>
    <x v="16"/>
  </r>
  <r>
    <s v="Male"/>
    <n v="49"/>
    <x v="1"/>
    <x v="17"/>
  </r>
  <r>
    <s v="Female"/>
    <n v="28"/>
    <x v="1"/>
    <x v="18"/>
  </r>
  <r>
    <s v="Female"/>
    <n v="38"/>
    <x v="1"/>
    <x v="19"/>
  </r>
  <r>
    <s v="Male"/>
    <n v="23"/>
    <x v="1"/>
    <x v="20"/>
  </r>
  <r>
    <s v="Male"/>
    <n v="44"/>
    <x v="2"/>
    <x v="21"/>
  </r>
  <r>
    <s v="Male"/>
    <n v="43"/>
    <x v="2"/>
    <x v="22"/>
  </r>
  <r>
    <s v="Female"/>
    <n v="30"/>
    <x v="2"/>
    <x v="23"/>
  </r>
  <r>
    <s v="Female"/>
    <n v="39"/>
    <x v="2"/>
    <x v="24"/>
  </r>
  <r>
    <s v="Female"/>
    <n v="25"/>
    <x v="2"/>
    <x v="25"/>
  </r>
  <r>
    <s v="Male"/>
    <n v="46"/>
    <x v="2"/>
    <x v="26"/>
  </r>
  <r>
    <s v="Male"/>
    <n v="30"/>
    <x v="2"/>
    <x v="27"/>
  </r>
  <r>
    <s v="Female"/>
    <n v="41"/>
    <x v="2"/>
    <x v="28"/>
  </r>
  <r>
    <s v="Male"/>
    <n v="29"/>
    <x v="2"/>
    <x v="29"/>
  </r>
  <r>
    <s v="Female"/>
    <n v="35"/>
    <x v="2"/>
    <x v="30"/>
  </r>
  <r>
    <s v="Female"/>
    <n v="27"/>
    <x v="2"/>
    <x v="31"/>
  </r>
  <r>
    <s v="Female"/>
    <n v="42"/>
    <x v="3"/>
    <x v="32"/>
  </r>
  <r>
    <s v="Female"/>
    <n v="32"/>
    <x v="3"/>
    <x v="33"/>
  </r>
  <r>
    <s v="Female"/>
    <n v="57"/>
    <x v="3"/>
    <x v="34"/>
  </r>
  <r>
    <s v="Female"/>
    <n v="45"/>
    <x v="3"/>
    <x v="35"/>
  </r>
  <r>
    <s v="Female"/>
    <n v="43"/>
    <x v="3"/>
    <x v="36"/>
  </r>
  <r>
    <s v="Female"/>
    <n v="45"/>
    <x v="3"/>
    <x v="37"/>
  </r>
  <r>
    <s v="Male"/>
    <n v="33"/>
    <x v="3"/>
    <x v="38"/>
  </r>
  <r>
    <s v="Male"/>
    <n v="46"/>
    <x v="3"/>
    <x v="39"/>
  </r>
  <r>
    <s v="Female"/>
    <n v="23"/>
    <x v="3"/>
    <x v="40"/>
  </r>
  <r>
    <s v="Male"/>
    <n v="50"/>
    <x v="4"/>
    <x v="41"/>
  </r>
  <r>
    <s v="Female"/>
    <n v="36"/>
    <x v="4"/>
    <x v="42"/>
  </r>
  <r>
    <s v="Male"/>
    <n v="42"/>
    <x v="4"/>
    <x v="43"/>
  </r>
  <r>
    <s v="Male"/>
    <n v="54"/>
    <x v="4"/>
    <x v="44"/>
  </r>
  <r>
    <s v="Female"/>
    <n v="28"/>
    <x v="4"/>
    <x v="45"/>
  </r>
  <r>
    <s v="Male"/>
    <n v="57"/>
    <x v="4"/>
    <x v="46"/>
  </r>
</pivotCacheRecords>
</file>

<file path=xl/pivotCache/pivotCacheRecords3.xml><?xml version="1.0" encoding="utf-8"?>
<pivotCacheRecords xmlns="http://schemas.openxmlformats.org/spreadsheetml/2006/main" xmlns:r="http://schemas.openxmlformats.org/officeDocument/2006/relationships" count="47">
  <r>
    <x v="0"/>
    <n v="29"/>
    <x v="0"/>
    <n v="65253"/>
  </r>
  <r>
    <x v="1"/>
    <n v="32"/>
    <x v="0"/>
    <n v="74554"/>
  </r>
  <r>
    <x v="0"/>
    <n v="45"/>
    <x v="0"/>
    <n v="84236"/>
  </r>
  <r>
    <x v="1"/>
    <n v="23"/>
    <x v="0"/>
    <n v="64364"/>
  </r>
  <r>
    <x v="1"/>
    <n v="23"/>
    <x v="0"/>
    <n v="61449"/>
  </r>
  <r>
    <x v="0"/>
    <n v="48"/>
    <x v="0"/>
    <n v="91131"/>
  </r>
  <r>
    <x v="0"/>
    <n v="49"/>
    <x v="0"/>
    <n v="90910"/>
  </r>
  <r>
    <x v="0"/>
    <n v="37"/>
    <x v="0"/>
    <n v="73202"/>
  </r>
  <r>
    <x v="0"/>
    <n v="36"/>
    <x v="0"/>
    <n v="76018"/>
  </r>
  <r>
    <x v="1"/>
    <n v="24"/>
    <x v="0"/>
    <n v="66358"/>
  </r>
  <r>
    <x v="1"/>
    <n v="42"/>
    <x v="0"/>
    <n v="87004"/>
  </r>
  <r>
    <x v="1"/>
    <n v="47"/>
    <x v="0"/>
    <n v="93800"/>
  </r>
  <r>
    <x v="0"/>
    <n v="25"/>
    <x v="0"/>
    <n v="60586"/>
  </r>
  <r>
    <x v="0"/>
    <n v="40"/>
    <x v="1"/>
    <n v="72891"/>
  </r>
  <r>
    <x v="1"/>
    <n v="51"/>
    <x v="1"/>
    <n v="92192"/>
  </r>
  <r>
    <x v="1"/>
    <n v="58"/>
    <x v="1"/>
    <n v="97589"/>
  </r>
  <r>
    <x v="0"/>
    <n v="35"/>
    <x v="1"/>
    <n v="67530"/>
  </r>
  <r>
    <x v="0"/>
    <n v="49"/>
    <x v="1"/>
    <n v="84911"/>
  </r>
  <r>
    <x v="1"/>
    <n v="28"/>
    <x v="1"/>
    <n v="67186"/>
  </r>
  <r>
    <x v="1"/>
    <n v="38"/>
    <x v="1"/>
    <n v="75746"/>
  </r>
  <r>
    <x v="0"/>
    <n v="23"/>
    <x v="1"/>
    <n v="59538"/>
  </r>
  <r>
    <x v="0"/>
    <n v="44"/>
    <x v="2"/>
    <n v="74981"/>
  </r>
  <r>
    <x v="0"/>
    <n v="43"/>
    <x v="2"/>
    <n v="80125"/>
  </r>
  <r>
    <x v="1"/>
    <n v="30"/>
    <x v="2"/>
    <n v="57531"/>
  </r>
  <r>
    <x v="1"/>
    <n v="39"/>
    <x v="2"/>
    <n v="73177"/>
  </r>
  <r>
    <x v="1"/>
    <n v="25"/>
    <x v="2"/>
    <n v="48797"/>
  </r>
  <r>
    <x v="0"/>
    <n v="46"/>
    <x v="2"/>
    <n v="80925"/>
  </r>
  <r>
    <x v="0"/>
    <n v="30"/>
    <x v="2"/>
    <n v="60887"/>
  </r>
  <r>
    <x v="1"/>
    <n v="41"/>
    <x v="2"/>
    <n v="72082"/>
  </r>
  <r>
    <x v="0"/>
    <n v="29"/>
    <x v="2"/>
    <n v="54059"/>
  </r>
  <r>
    <x v="1"/>
    <n v="35"/>
    <x v="2"/>
    <n v="67698"/>
  </r>
  <r>
    <x v="1"/>
    <n v="27"/>
    <x v="2"/>
    <n v="53911"/>
  </r>
  <r>
    <x v="1"/>
    <n v="42"/>
    <x v="3"/>
    <n v="95585"/>
  </r>
  <r>
    <x v="1"/>
    <n v="32"/>
    <x v="3"/>
    <n v="84280"/>
  </r>
  <r>
    <x v="1"/>
    <n v="57"/>
    <x v="3"/>
    <n v="110696"/>
  </r>
  <r>
    <x v="1"/>
    <n v="45"/>
    <x v="3"/>
    <n v="93298"/>
  </r>
  <r>
    <x v="1"/>
    <n v="43"/>
    <x v="3"/>
    <n v="91054"/>
  </r>
  <r>
    <x v="1"/>
    <n v="45"/>
    <x v="3"/>
    <n v="98455"/>
  </r>
  <r>
    <x v="0"/>
    <n v="33"/>
    <x v="3"/>
    <n v="83991"/>
  </r>
  <r>
    <x v="0"/>
    <n v="46"/>
    <x v="3"/>
    <n v="99335"/>
  </r>
  <r>
    <x v="1"/>
    <n v="23"/>
    <x v="3"/>
    <n v="75539"/>
  </r>
  <r>
    <x v="0"/>
    <n v="50"/>
    <x v="4"/>
    <n v="112363"/>
  </r>
  <r>
    <x v="1"/>
    <n v="36"/>
    <x v="4"/>
    <n v="97032"/>
  </r>
  <r>
    <x v="0"/>
    <n v="42"/>
    <x v="4"/>
    <n v="104172"/>
  </r>
  <r>
    <x v="0"/>
    <n v="54"/>
    <x v="4"/>
    <n v="115107"/>
  </r>
  <r>
    <x v="1"/>
    <n v="28"/>
    <x v="4"/>
    <n v="84527"/>
  </r>
  <r>
    <x v="0"/>
    <n v="57"/>
    <x v="4"/>
    <n v="126561"/>
  </r>
</pivotCacheRecords>
</file>

<file path=xl/pivotCache/pivotCacheRecords4.xml><?xml version="1.0" encoding="utf-8"?>
<pivotCacheRecords xmlns="http://schemas.openxmlformats.org/spreadsheetml/2006/main" xmlns:r="http://schemas.openxmlformats.org/officeDocument/2006/relationships" count="47">
  <r>
    <x v="0"/>
    <n v="29"/>
    <x v="0"/>
    <n v="65253"/>
  </r>
  <r>
    <x v="1"/>
    <n v="32"/>
    <x v="0"/>
    <n v="74554"/>
  </r>
  <r>
    <x v="0"/>
    <n v="45"/>
    <x v="0"/>
    <n v="84236"/>
  </r>
  <r>
    <x v="1"/>
    <n v="23"/>
    <x v="0"/>
    <n v="64364"/>
  </r>
  <r>
    <x v="1"/>
    <n v="23"/>
    <x v="0"/>
    <n v="61449"/>
  </r>
  <r>
    <x v="0"/>
    <n v="48"/>
    <x v="0"/>
    <n v="91131"/>
  </r>
  <r>
    <x v="0"/>
    <n v="49"/>
    <x v="0"/>
    <n v="90910"/>
  </r>
  <r>
    <x v="0"/>
    <n v="37"/>
    <x v="0"/>
    <n v="73202"/>
  </r>
  <r>
    <x v="0"/>
    <n v="36"/>
    <x v="0"/>
    <n v="76018"/>
  </r>
  <r>
    <x v="1"/>
    <n v="24"/>
    <x v="0"/>
    <n v="66358"/>
  </r>
  <r>
    <x v="1"/>
    <n v="42"/>
    <x v="0"/>
    <n v="87004"/>
  </r>
  <r>
    <x v="1"/>
    <n v="47"/>
    <x v="0"/>
    <n v="93800"/>
  </r>
  <r>
    <x v="0"/>
    <n v="25"/>
    <x v="0"/>
    <n v="60586"/>
  </r>
  <r>
    <x v="0"/>
    <n v="40"/>
    <x v="1"/>
    <n v="72891"/>
  </r>
  <r>
    <x v="1"/>
    <n v="51"/>
    <x v="1"/>
    <n v="92192"/>
  </r>
  <r>
    <x v="1"/>
    <n v="58"/>
    <x v="1"/>
    <n v="97589"/>
  </r>
  <r>
    <x v="0"/>
    <n v="35"/>
    <x v="1"/>
    <n v="67530"/>
  </r>
  <r>
    <x v="0"/>
    <n v="49"/>
    <x v="1"/>
    <n v="84911"/>
  </r>
  <r>
    <x v="1"/>
    <n v="28"/>
    <x v="1"/>
    <n v="67186"/>
  </r>
  <r>
    <x v="1"/>
    <n v="38"/>
    <x v="1"/>
    <n v="75746"/>
  </r>
  <r>
    <x v="0"/>
    <n v="23"/>
    <x v="1"/>
    <n v="59538"/>
  </r>
  <r>
    <x v="0"/>
    <n v="44"/>
    <x v="2"/>
    <n v="74981"/>
  </r>
  <r>
    <x v="0"/>
    <n v="43"/>
    <x v="2"/>
    <n v="80125"/>
  </r>
  <r>
    <x v="1"/>
    <n v="30"/>
    <x v="2"/>
    <n v="57531"/>
  </r>
  <r>
    <x v="1"/>
    <n v="39"/>
    <x v="2"/>
    <n v="73177"/>
  </r>
  <r>
    <x v="1"/>
    <n v="25"/>
    <x v="2"/>
    <n v="48797"/>
  </r>
  <r>
    <x v="0"/>
    <n v="46"/>
    <x v="2"/>
    <n v="80925"/>
  </r>
  <r>
    <x v="0"/>
    <n v="30"/>
    <x v="2"/>
    <n v="60887"/>
  </r>
  <r>
    <x v="1"/>
    <n v="41"/>
    <x v="2"/>
    <n v="72082"/>
  </r>
  <r>
    <x v="0"/>
    <n v="29"/>
    <x v="2"/>
    <n v="54059"/>
  </r>
  <r>
    <x v="1"/>
    <n v="35"/>
    <x v="2"/>
    <n v="67698"/>
  </r>
  <r>
    <x v="1"/>
    <n v="27"/>
    <x v="2"/>
    <n v="53911"/>
  </r>
  <r>
    <x v="1"/>
    <n v="42"/>
    <x v="3"/>
    <n v="95585"/>
  </r>
  <r>
    <x v="1"/>
    <n v="32"/>
    <x v="3"/>
    <n v="84280"/>
  </r>
  <r>
    <x v="1"/>
    <n v="57"/>
    <x v="3"/>
    <n v="110696"/>
  </r>
  <r>
    <x v="1"/>
    <n v="45"/>
    <x v="3"/>
    <n v="93298"/>
  </r>
  <r>
    <x v="1"/>
    <n v="43"/>
    <x v="3"/>
    <n v="91054"/>
  </r>
  <r>
    <x v="1"/>
    <n v="45"/>
    <x v="3"/>
    <n v="98455"/>
  </r>
  <r>
    <x v="0"/>
    <n v="33"/>
    <x v="3"/>
    <n v="83991"/>
  </r>
  <r>
    <x v="0"/>
    <n v="46"/>
    <x v="3"/>
    <n v="99335"/>
  </r>
  <r>
    <x v="1"/>
    <n v="23"/>
    <x v="3"/>
    <n v="75539"/>
  </r>
  <r>
    <x v="0"/>
    <n v="50"/>
    <x v="4"/>
    <n v="112363"/>
  </r>
  <r>
    <x v="1"/>
    <n v="36"/>
    <x v="4"/>
    <n v="97032"/>
  </r>
  <r>
    <x v="0"/>
    <n v="42"/>
    <x v="4"/>
    <n v="104172"/>
  </r>
  <r>
    <x v="0"/>
    <n v="54"/>
    <x v="4"/>
    <n v="115107"/>
  </r>
  <r>
    <x v="1"/>
    <n v="28"/>
    <x v="4"/>
    <n v="84527"/>
  </r>
  <r>
    <x v="0"/>
    <n v="57"/>
    <x v="4"/>
    <n v="1265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J15:K21" firstHeaderRow="1" firstDataRow="1" firstDataCol="1" rowPageCount="2" colPageCount="1"/>
  <pivotFields count="4">
    <pivotField axis="axisPage" showAll="0">
      <items count="3">
        <item x="1"/>
        <item x="0"/>
        <item t="default"/>
      </items>
    </pivotField>
    <pivotField axis="axisPage" showAll="0">
      <items count="30">
        <item x="3"/>
        <item x="8"/>
        <item x="11"/>
        <item x="24"/>
        <item x="16"/>
        <item x="0"/>
        <item x="20"/>
        <item x="1"/>
        <item x="26"/>
        <item x="15"/>
        <item x="7"/>
        <item x="6"/>
        <item x="17"/>
        <item x="21"/>
        <item x="12"/>
        <item x="23"/>
        <item x="9"/>
        <item x="19"/>
        <item x="18"/>
        <item x="2"/>
        <item x="22"/>
        <item x="10"/>
        <item x="4"/>
        <item x="5"/>
        <item x="27"/>
        <item x="13"/>
        <item x="28"/>
        <item x="25"/>
        <item x="14"/>
        <item t="default"/>
      </items>
    </pivotField>
    <pivotField axis="axisRow" showAll="0">
      <items count="6">
        <item x="4"/>
        <item x="3"/>
        <item x="2"/>
        <item x="1"/>
        <item x="0"/>
        <item t="default"/>
      </items>
    </pivotField>
    <pivotField dataField="1" showAll="0"/>
  </pivotFields>
  <rowFields count="1">
    <field x="2"/>
  </rowFields>
  <rowItems count="6">
    <i>
      <x/>
    </i>
    <i>
      <x v="1"/>
    </i>
    <i>
      <x v="2"/>
    </i>
    <i>
      <x v="3"/>
    </i>
    <i>
      <x v="4"/>
    </i>
    <i t="grand">
      <x/>
    </i>
  </rowItems>
  <colItems count="1">
    <i/>
  </colItems>
  <pageFields count="2">
    <pageField fld="1" hier="-1"/>
    <pageField fld="0" hier="-1"/>
  </pageFields>
  <dataFields count="1">
    <dataField name="Sum of Salary" fld="3"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16:E22" firstHeaderRow="1" firstDataRow="1" firstDataCol="1" rowPageCount="1" colPageCount="1"/>
  <pivotFields count="4">
    <pivotField showAll="0">
      <items count="3">
        <item x="1"/>
        <item x="0"/>
        <item t="default"/>
      </items>
    </pivotField>
    <pivotField axis="axisPage" showAll="0">
      <items count="30">
        <item x="3"/>
        <item x="8"/>
        <item x="11"/>
        <item x="24"/>
        <item x="16"/>
        <item x="0"/>
        <item x="20"/>
        <item x="1"/>
        <item x="26"/>
        <item x="15"/>
        <item x="7"/>
        <item x="6"/>
        <item x="17"/>
        <item x="21"/>
        <item x="12"/>
        <item x="23"/>
        <item x="9"/>
        <item x="19"/>
        <item x="18"/>
        <item x="2"/>
        <item x="22"/>
        <item x="10"/>
        <item x="4"/>
        <item x="5"/>
        <item x="27"/>
        <item x="13"/>
        <item x="28"/>
        <item x="25"/>
        <item x="14"/>
        <item t="default"/>
      </items>
    </pivotField>
    <pivotField axis="axisRow" showAll="0">
      <items count="6">
        <item sd="0" x="4"/>
        <item sd="0" x="3"/>
        <item sd="0" x="2"/>
        <item sd="0" x="1"/>
        <item sd="0" x="0"/>
        <item t="default"/>
      </items>
    </pivotField>
    <pivotField dataField="1" showAll="0"/>
  </pivotFields>
  <rowFields count="1">
    <field x="2"/>
  </rowFields>
  <rowItems count="6">
    <i>
      <x/>
    </i>
    <i>
      <x v="1"/>
    </i>
    <i>
      <x v="2"/>
    </i>
    <i>
      <x v="3"/>
    </i>
    <i>
      <x v="4"/>
    </i>
    <i t="grand">
      <x/>
    </i>
  </rowItems>
  <colItems count="1">
    <i/>
  </colItems>
  <pageFields count="1">
    <pageField fld="1" hier="-1"/>
  </pageFields>
  <dataFields count="1">
    <dataField name="Sum of Salary" fld="3" baseField="0" baseItem="0"/>
  </dataFields>
  <chartFormats count="1">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G16:H19" firstHeaderRow="1" firstDataRow="1" firstDataCol="1"/>
  <pivotFields count="4">
    <pivotField axis="axisRow" showAll="0">
      <items count="3">
        <item sd="0" x="1"/>
        <item sd="0" x="0"/>
        <item t="default"/>
      </items>
    </pivotField>
    <pivotField dataField="1" showAll="0"/>
    <pivotField axis="axisRow" showAll="0">
      <items count="6">
        <item x="4"/>
        <item x="3"/>
        <item x="2"/>
        <item x="1"/>
        <item x="0"/>
        <item t="default"/>
      </items>
    </pivotField>
    <pivotField showAll="0"/>
  </pivotFields>
  <rowFields count="2">
    <field x="0"/>
    <field x="2"/>
  </rowFields>
  <rowItems count="3">
    <i>
      <x/>
    </i>
    <i>
      <x v="1"/>
    </i>
    <i t="grand">
      <x/>
    </i>
  </rowItems>
  <colItems count="1">
    <i/>
  </colItems>
  <dataFields count="1">
    <dataField name="Sum of Age" fld="1"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H3:I9" firstHeaderRow="1" firstDataRow="1" firstDataCol="1"/>
  <pivotFields count="4">
    <pivotField dataField="1" showAll="0">
      <items count="3">
        <item x="1"/>
        <item x="0"/>
        <item t="default"/>
      </items>
    </pivotField>
    <pivotField showAll="0"/>
    <pivotField axis="axisRow" showAll="0">
      <items count="6">
        <item x="4"/>
        <item x="3"/>
        <item x="2"/>
        <item x="1"/>
        <item x="0"/>
        <item t="default"/>
      </items>
    </pivotField>
    <pivotField showAll="0"/>
  </pivotFields>
  <rowFields count="1">
    <field x="2"/>
  </rowFields>
  <rowItems count="6">
    <i>
      <x/>
    </i>
    <i>
      <x v="1"/>
    </i>
    <i>
      <x v="2"/>
    </i>
    <i>
      <x v="3"/>
    </i>
    <i>
      <x v="4"/>
    </i>
    <i t="grand">
      <x/>
    </i>
  </rowItems>
  <colItems count="1">
    <i/>
  </colItems>
  <dataFields count="1">
    <dataField name="Count of Gender"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E3:F9" firstHeaderRow="1" firstDataRow="1" firstDataCol="1"/>
  <pivotFields count="4">
    <pivotField showAll="0"/>
    <pivotField showAll="0"/>
    <pivotField axis="axisRow" showAll="0">
      <items count="6">
        <item x="4"/>
        <item x="3"/>
        <item x="2"/>
        <item x="1"/>
        <item x="0"/>
        <item t="default"/>
      </items>
    </pivotField>
    <pivotField dataField="1" showAll="0">
      <items count="48">
        <item x="25"/>
        <item x="31"/>
        <item x="29"/>
        <item x="23"/>
        <item x="20"/>
        <item x="12"/>
        <item x="27"/>
        <item x="4"/>
        <item x="3"/>
        <item x="0"/>
        <item x="9"/>
        <item x="18"/>
        <item x="16"/>
        <item x="30"/>
        <item x="28"/>
        <item x="13"/>
        <item x="24"/>
        <item x="7"/>
        <item x="1"/>
        <item x="21"/>
        <item x="40"/>
        <item x="19"/>
        <item x="8"/>
        <item x="22"/>
        <item x="26"/>
        <item x="38"/>
        <item x="2"/>
        <item x="33"/>
        <item x="45"/>
        <item x="17"/>
        <item x="10"/>
        <item x="6"/>
        <item x="36"/>
        <item x="5"/>
        <item x="14"/>
        <item x="35"/>
        <item x="11"/>
        <item x="32"/>
        <item x="42"/>
        <item x="15"/>
        <item x="37"/>
        <item x="39"/>
        <item x="43"/>
        <item x="34"/>
        <item x="41"/>
        <item x="44"/>
        <item x="46"/>
        <item t="default"/>
      </items>
    </pivotField>
  </pivotFields>
  <rowFields count="1">
    <field x="2"/>
  </rowFields>
  <rowItems count="6">
    <i>
      <x/>
    </i>
    <i>
      <x v="1"/>
    </i>
    <i>
      <x v="2"/>
    </i>
    <i>
      <x v="3"/>
    </i>
    <i>
      <x v="4"/>
    </i>
    <i t="grand">
      <x/>
    </i>
  </rowItems>
  <colItems count="1">
    <i/>
  </colItems>
  <dataFields count="1">
    <dataField name="Sum of Salary" fld="3" baseField="0" baseItem="0"/>
  </dataFields>
  <chartFormats count="6">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2" count="1" selected="0">
            <x v="0"/>
          </reference>
        </references>
      </pivotArea>
    </chartFormat>
    <chartFormat chart="6" format="21">
      <pivotArea type="data" outline="0" fieldPosition="0">
        <references count="2">
          <reference field="4294967294" count="1" selected="0">
            <x v="0"/>
          </reference>
          <reference field="2" count="1" selected="0">
            <x v="1"/>
          </reference>
        </references>
      </pivotArea>
    </chartFormat>
    <chartFormat chart="6" format="22">
      <pivotArea type="data" outline="0" fieldPosition="0">
        <references count="2">
          <reference field="4294967294" count="1" selected="0">
            <x v="0"/>
          </reference>
          <reference field="2" count="1" selected="0">
            <x v="2"/>
          </reference>
        </references>
      </pivotArea>
    </chartFormat>
    <chartFormat chart="6" format="23">
      <pivotArea type="data" outline="0" fieldPosition="0">
        <references count="2">
          <reference field="4294967294" count="1" selected="0">
            <x v="0"/>
          </reference>
          <reference field="2" count="1" selected="0">
            <x v="3"/>
          </reference>
        </references>
      </pivotArea>
    </chartFormat>
    <chartFormat chart="6"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3:C9" firstHeaderRow="1" firstDataRow="1" firstDataCol="1"/>
  <pivotFields count="4">
    <pivotField showAll="0"/>
    <pivotField dataField="1" showAll="0">
      <items count="30">
        <item x="3"/>
        <item x="8"/>
        <item x="11"/>
        <item x="24"/>
        <item x="16"/>
        <item x="0"/>
        <item x="20"/>
        <item x="1"/>
        <item x="26"/>
        <item x="15"/>
        <item x="7"/>
        <item x="6"/>
        <item x="17"/>
        <item x="21"/>
        <item x="12"/>
        <item x="23"/>
        <item x="9"/>
        <item x="19"/>
        <item x="18"/>
        <item x="2"/>
        <item x="22"/>
        <item x="10"/>
        <item x="4"/>
        <item x="5"/>
        <item x="27"/>
        <item x="13"/>
        <item x="28"/>
        <item x="25"/>
        <item x="14"/>
        <item t="default"/>
      </items>
    </pivotField>
    <pivotField axis="axisRow" showAll="0">
      <items count="6">
        <item x="4"/>
        <item x="3"/>
        <item x="2"/>
        <item x="1"/>
        <item x="0"/>
        <item t="default"/>
      </items>
    </pivotField>
    <pivotField showAll="0"/>
  </pivotFields>
  <rowFields count="1">
    <field x="2"/>
  </rowFields>
  <rowItems count="6">
    <i>
      <x/>
    </i>
    <i>
      <x v="1"/>
    </i>
    <i>
      <x v="2"/>
    </i>
    <i>
      <x v="3"/>
    </i>
    <i>
      <x v="4"/>
    </i>
    <i t="grand">
      <x/>
    </i>
  </rowItems>
  <colItems count="1">
    <i/>
  </colItems>
  <dataFields count="1">
    <dataField name="Sum of Age" fld="1"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ary" sourceName="Salary">
  <pivotTables>
    <pivotTable tabId="6" name="PivotTable4"/>
  </pivotTables>
  <data>
    <tabular pivotCacheId="3">
      <items count="47">
        <i x="25" s="1"/>
        <i x="31" s="1"/>
        <i x="29" s="1"/>
        <i x="23" s="1"/>
        <i x="20" s="1"/>
        <i x="12" s="1"/>
        <i x="27" s="1"/>
        <i x="4" s="1"/>
        <i x="3" s="1"/>
        <i x="0" s="1"/>
        <i x="9" s="1"/>
        <i x="18" s="1"/>
        <i x="16" s="1"/>
        <i x="30" s="1"/>
        <i x="28" s="1"/>
        <i x="13" s="1"/>
        <i x="24" s="1"/>
        <i x="7" s="1"/>
        <i x="1" s="1"/>
        <i x="21" s="1"/>
        <i x="40" s="1"/>
        <i x="19" s="1"/>
        <i x="8" s="1"/>
        <i x="22" s="1"/>
        <i x="26" s="1"/>
        <i x="38" s="1"/>
        <i x="2" s="1"/>
        <i x="33" s="1"/>
        <i x="45" s="1"/>
        <i x="17" s="1"/>
        <i x="10" s="1"/>
        <i x="6" s="1"/>
        <i x="36" s="1"/>
        <i x="5" s="1"/>
        <i x="14" s="1"/>
        <i x="35" s="1"/>
        <i x="11" s="1"/>
        <i x="32" s="1"/>
        <i x="42" s="1"/>
        <i x="15" s="1"/>
        <i x="37" s="1"/>
        <i x="39" s="1"/>
        <i x="43" s="1"/>
        <i x="34" s="1"/>
        <i x="41" s="1"/>
        <i x="44"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6"/>
  </pivotTables>
  <data>
    <tabular pivotCacheId="1">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8"/>
  </pivotTables>
  <data>
    <tabular pivotCacheId="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6" name="PivotTable9"/>
    <pivotTable tabId="6" name="PivotTable2"/>
    <pivotTable tabId="6" name="PivotTable10"/>
  </pivotTables>
  <data>
    <tabular pivotCacheId="2">
      <items count="29">
        <i x="3" s="1"/>
        <i x="8" s="1"/>
        <i x="11" s="1"/>
        <i x="24" s="1"/>
        <i x="16" s="1"/>
        <i x="0" s="1"/>
        <i x="20" s="1"/>
        <i x="1" s="1"/>
        <i x="26" s="1"/>
        <i x="15" s="1"/>
        <i x="7" s="1"/>
        <i x="6" s="1"/>
        <i x="17" s="1"/>
        <i x="21" s="1"/>
        <i x="12" s="1"/>
        <i x="23" s="1"/>
        <i x="9" s="1"/>
        <i x="19" s="1"/>
        <i x="18" s="1"/>
        <i x="2" s="1"/>
        <i x="22" s="1"/>
        <i x="10" s="1"/>
        <i x="4" s="1"/>
        <i x="5" s="1"/>
        <i x="27" s="1"/>
        <i x="13" s="1"/>
        <i x="28" s="1"/>
        <i x="2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ary" cache="Slicer_Salary" caption="Salary" startItem="13" rowHeight="241300"/>
  <slicer name="Department" cache="Slicer_Department" caption="Department" rowHeight="241300"/>
  <slicer name="Gender" cache="Slicer_Gender" caption="Gender" rowHeight="241300"/>
  <slicer name="Age" cache="Slicer_Age" caption="Age" rowHeight="241300"/>
</slicers>
</file>

<file path=xl/tables/table1.xml><?xml version="1.0" encoding="utf-8"?>
<table xmlns="http://schemas.openxmlformats.org/spreadsheetml/2006/main" id="1" name="Table1" displayName="Table1" ref="C3:F50" totalsRowShown="0" headerRowDxfId="5" dataDxfId="4">
  <autoFilter ref="C3:F50"/>
  <sortState ref="C5:F51">
    <sortCondition descending="1" ref="E4:E51"/>
  </sortState>
  <tableColumns count="4">
    <tableColumn id="1" name="Gender" dataDxfId="3"/>
    <tableColumn id="2" name="Age" dataDxfId="2"/>
    <tableColumn id="3" name="Department" dataDxfId="1"/>
    <tableColumn id="4" name="Sal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F50"/>
  <sheetViews>
    <sheetView tabSelected="1" workbookViewId="0">
      <selection activeCell="H9" sqref="H9"/>
    </sheetView>
  </sheetViews>
  <sheetFormatPr defaultRowHeight="15" x14ac:dyDescent="0.25"/>
  <cols>
    <col min="3" max="3" width="12.28515625" style="1" customWidth="1"/>
    <col min="4" max="4" width="9.140625" style="1"/>
    <col min="5" max="5" width="17" customWidth="1"/>
    <col min="6" max="6" width="10" style="1" customWidth="1"/>
  </cols>
  <sheetData>
    <row r="3" spans="3:6" s="2" customFormat="1" ht="33" customHeight="1" x14ac:dyDescent="0.25">
      <c r="C3" s="2" t="s">
        <v>1</v>
      </c>
      <c r="D3" s="2" t="s">
        <v>0</v>
      </c>
      <c r="E3" s="2" t="s">
        <v>2</v>
      </c>
      <c r="F3" s="2" t="s">
        <v>3</v>
      </c>
    </row>
    <row r="4" spans="3:6" s="4" customFormat="1" ht="15.75" x14ac:dyDescent="0.25">
      <c r="C4" s="3" t="s">
        <v>4</v>
      </c>
      <c r="D4" s="3">
        <v>29</v>
      </c>
      <c r="E4" s="4" t="s">
        <v>7</v>
      </c>
      <c r="F4" s="3">
        <v>65253</v>
      </c>
    </row>
    <row r="5" spans="3:6" s="4" customFormat="1" ht="15.75" x14ac:dyDescent="0.25">
      <c r="C5" s="3" t="s">
        <v>6</v>
      </c>
      <c r="D5" s="3">
        <v>32</v>
      </c>
      <c r="E5" s="4" t="s">
        <v>7</v>
      </c>
      <c r="F5" s="3">
        <v>74554</v>
      </c>
    </row>
    <row r="6" spans="3:6" s="4" customFormat="1" ht="15.75" x14ac:dyDescent="0.25">
      <c r="C6" s="3" t="s">
        <v>4</v>
      </c>
      <c r="D6" s="3">
        <v>45</v>
      </c>
      <c r="E6" s="4" t="s">
        <v>7</v>
      </c>
      <c r="F6" s="3">
        <v>84236</v>
      </c>
    </row>
    <row r="7" spans="3:6" s="4" customFormat="1" ht="15.75" x14ac:dyDescent="0.25">
      <c r="C7" s="3" t="s">
        <v>6</v>
      </c>
      <c r="D7" s="3">
        <v>23</v>
      </c>
      <c r="E7" s="4" t="s">
        <v>7</v>
      </c>
      <c r="F7" s="3">
        <v>64364</v>
      </c>
    </row>
    <row r="8" spans="3:6" s="4" customFormat="1" ht="15.75" x14ac:dyDescent="0.25">
      <c r="C8" s="3" t="s">
        <v>6</v>
      </c>
      <c r="D8" s="3">
        <v>23</v>
      </c>
      <c r="E8" s="4" t="s">
        <v>7</v>
      </c>
      <c r="F8" s="3">
        <v>61449</v>
      </c>
    </row>
    <row r="9" spans="3:6" s="4" customFormat="1" ht="15.75" x14ac:dyDescent="0.25">
      <c r="C9" s="3" t="s">
        <v>4</v>
      </c>
      <c r="D9" s="3">
        <v>48</v>
      </c>
      <c r="E9" s="4" t="s">
        <v>7</v>
      </c>
      <c r="F9" s="3">
        <v>91131</v>
      </c>
    </row>
    <row r="10" spans="3:6" s="4" customFormat="1" ht="15.75" x14ac:dyDescent="0.25">
      <c r="C10" s="3" t="s">
        <v>4</v>
      </c>
      <c r="D10" s="3">
        <v>49</v>
      </c>
      <c r="E10" s="4" t="s">
        <v>7</v>
      </c>
      <c r="F10" s="3">
        <v>90910</v>
      </c>
    </row>
    <row r="11" spans="3:6" s="4" customFormat="1" ht="15.75" x14ac:dyDescent="0.25">
      <c r="C11" s="3" t="s">
        <v>4</v>
      </c>
      <c r="D11" s="3">
        <v>37</v>
      </c>
      <c r="E11" s="4" t="s">
        <v>7</v>
      </c>
      <c r="F11" s="3">
        <v>73202</v>
      </c>
    </row>
    <row r="12" spans="3:6" s="4" customFormat="1" ht="15.75" x14ac:dyDescent="0.25">
      <c r="C12" s="3" t="s">
        <v>4</v>
      </c>
      <c r="D12" s="3">
        <v>36</v>
      </c>
      <c r="E12" s="4" t="s">
        <v>7</v>
      </c>
      <c r="F12" s="3">
        <v>76018</v>
      </c>
    </row>
    <row r="13" spans="3:6" s="4" customFormat="1" ht="15.75" x14ac:dyDescent="0.25">
      <c r="C13" s="3" t="s">
        <v>6</v>
      </c>
      <c r="D13" s="3">
        <v>24</v>
      </c>
      <c r="E13" s="4" t="s">
        <v>7</v>
      </c>
      <c r="F13" s="3">
        <v>66358</v>
      </c>
    </row>
    <row r="14" spans="3:6" s="4" customFormat="1" ht="15.75" x14ac:dyDescent="0.25">
      <c r="C14" s="3" t="s">
        <v>6</v>
      </c>
      <c r="D14" s="3">
        <v>42</v>
      </c>
      <c r="E14" s="4" t="s">
        <v>7</v>
      </c>
      <c r="F14" s="3">
        <v>87004</v>
      </c>
    </row>
    <row r="15" spans="3:6" s="4" customFormat="1" ht="15.75" x14ac:dyDescent="0.25">
      <c r="C15" s="3" t="s">
        <v>6</v>
      </c>
      <c r="D15" s="3">
        <v>47</v>
      </c>
      <c r="E15" s="4" t="s">
        <v>7</v>
      </c>
      <c r="F15" s="3">
        <v>93800</v>
      </c>
    </row>
    <row r="16" spans="3:6" s="4" customFormat="1" ht="15.75" x14ac:dyDescent="0.25">
      <c r="C16" s="3" t="s">
        <v>4</v>
      </c>
      <c r="D16" s="3">
        <v>25</v>
      </c>
      <c r="E16" s="4" t="s">
        <v>7</v>
      </c>
      <c r="F16" s="3">
        <v>60586</v>
      </c>
    </row>
    <row r="17" spans="3:6" s="4" customFormat="1" ht="15.75" x14ac:dyDescent="0.25">
      <c r="C17" s="3" t="s">
        <v>4</v>
      </c>
      <c r="D17" s="3">
        <v>40</v>
      </c>
      <c r="E17" s="4" t="s">
        <v>9</v>
      </c>
      <c r="F17" s="3">
        <v>72891</v>
      </c>
    </row>
    <row r="18" spans="3:6" s="4" customFormat="1" ht="15.75" x14ac:dyDescent="0.25">
      <c r="C18" s="3" t="s">
        <v>6</v>
      </c>
      <c r="D18" s="3">
        <v>51</v>
      </c>
      <c r="E18" s="4" t="s">
        <v>9</v>
      </c>
      <c r="F18" s="3">
        <v>92192</v>
      </c>
    </row>
    <row r="19" spans="3:6" s="4" customFormat="1" ht="15.75" x14ac:dyDescent="0.25">
      <c r="C19" s="3" t="s">
        <v>6</v>
      </c>
      <c r="D19" s="3">
        <v>58</v>
      </c>
      <c r="E19" s="4" t="s">
        <v>9</v>
      </c>
      <c r="F19" s="3">
        <v>97589</v>
      </c>
    </row>
    <row r="20" spans="3:6" s="4" customFormat="1" ht="15.75" x14ac:dyDescent="0.25">
      <c r="C20" s="3" t="s">
        <v>4</v>
      </c>
      <c r="D20" s="3">
        <v>35</v>
      </c>
      <c r="E20" s="4" t="s">
        <v>9</v>
      </c>
      <c r="F20" s="3">
        <v>67530</v>
      </c>
    </row>
    <row r="21" spans="3:6" s="4" customFormat="1" ht="15.75" x14ac:dyDescent="0.25">
      <c r="C21" s="3" t="s">
        <v>4</v>
      </c>
      <c r="D21" s="3">
        <v>49</v>
      </c>
      <c r="E21" s="4" t="s">
        <v>9</v>
      </c>
      <c r="F21" s="3">
        <v>84911</v>
      </c>
    </row>
    <row r="22" spans="3:6" s="4" customFormat="1" ht="15.75" x14ac:dyDescent="0.25">
      <c r="C22" s="3" t="s">
        <v>6</v>
      </c>
      <c r="D22" s="3">
        <v>28</v>
      </c>
      <c r="E22" s="4" t="s">
        <v>9</v>
      </c>
      <c r="F22" s="3">
        <v>67186</v>
      </c>
    </row>
    <row r="23" spans="3:6" s="4" customFormat="1" ht="15.75" x14ac:dyDescent="0.25">
      <c r="C23" s="3" t="s">
        <v>6</v>
      </c>
      <c r="D23" s="3">
        <v>38</v>
      </c>
      <c r="E23" s="4" t="s">
        <v>9</v>
      </c>
      <c r="F23" s="3">
        <v>75746</v>
      </c>
    </row>
    <row r="24" spans="3:6" s="4" customFormat="1" ht="15.75" x14ac:dyDescent="0.25">
      <c r="C24" s="3" t="s">
        <v>4</v>
      </c>
      <c r="D24" s="3">
        <v>23</v>
      </c>
      <c r="E24" s="4" t="s">
        <v>9</v>
      </c>
      <c r="F24" s="3">
        <v>59538</v>
      </c>
    </row>
    <row r="25" spans="3:6" s="4" customFormat="1" ht="15.75" x14ac:dyDescent="0.25">
      <c r="C25" s="3" t="s">
        <v>4</v>
      </c>
      <c r="D25" s="3">
        <v>44</v>
      </c>
      <c r="E25" s="4" t="s">
        <v>10</v>
      </c>
      <c r="F25" s="3">
        <v>74981</v>
      </c>
    </row>
    <row r="26" spans="3:6" s="4" customFormat="1" ht="15.75" x14ac:dyDescent="0.25">
      <c r="C26" s="3" t="s">
        <v>4</v>
      </c>
      <c r="D26" s="3">
        <v>43</v>
      </c>
      <c r="E26" s="4" t="s">
        <v>10</v>
      </c>
      <c r="F26" s="3">
        <v>80125</v>
      </c>
    </row>
    <row r="27" spans="3:6" s="4" customFormat="1" ht="15.75" x14ac:dyDescent="0.25">
      <c r="C27" s="3" t="s">
        <v>6</v>
      </c>
      <c r="D27" s="3">
        <v>30</v>
      </c>
      <c r="E27" s="4" t="s">
        <v>10</v>
      </c>
      <c r="F27" s="3">
        <v>57531</v>
      </c>
    </row>
    <row r="28" spans="3:6" s="4" customFormat="1" ht="15.75" x14ac:dyDescent="0.25">
      <c r="C28" s="3" t="s">
        <v>6</v>
      </c>
      <c r="D28" s="3">
        <v>39</v>
      </c>
      <c r="E28" s="4" t="s">
        <v>10</v>
      </c>
      <c r="F28" s="3">
        <v>73177</v>
      </c>
    </row>
    <row r="29" spans="3:6" s="4" customFormat="1" ht="15.75" x14ac:dyDescent="0.25">
      <c r="C29" s="3" t="s">
        <v>6</v>
      </c>
      <c r="D29" s="3">
        <v>25</v>
      </c>
      <c r="E29" s="4" t="s">
        <v>10</v>
      </c>
      <c r="F29" s="3">
        <v>48797</v>
      </c>
    </row>
    <row r="30" spans="3:6" s="4" customFormat="1" ht="15.75" x14ac:dyDescent="0.25">
      <c r="C30" s="3" t="s">
        <v>4</v>
      </c>
      <c r="D30" s="3">
        <v>46</v>
      </c>
      <c r="E30" s="4" t="s">
        <v>10</v>
      </c>
      <c r="F30" s="3">
        <v>80925</v>
      </c>
    </row>
    <row r="31" spans="3:6" s="4" customFormat="1" ht="15.75" x14ac:dyDescent="0.25">
      <c r="C31" s="3" t="s">
        <v>4</v>
      </c>
      <c r="D31" s="3">
        <v>30</v>
      </c>
      <c r="E31" s="4" t="s">
        <v>10</v>
      </c>
      <c r="F31" s="3">
        <v>60887</v>
      </c>
    </row>
    <row r="32" spans="3:6" s="4" customFormat="1" ht="15.75" x14ac:dyDescent="0.25">
      <c r="C32" s="3" t="s">
        <v>6</v>
      </c>
      <c r="D32" s="3">
        <v>41</v>
      </c>
      <c r="E32" s="4" t="s">
        <v>10</v>
      </c>
      <c r="F32" s="3">
        <v>72082</v>
      </c>
    </row>
    <row r="33" spans="3:6" s="4" customFormat="1" ht="15.75" x14ac:dyDescent="0.25">
      <c r="C33" s="3" t="s">
        <v>4</v>
      </c>
      <c r="D33" s="3">
        <v>29</v>
      </c>
      <c r="E33" s="4" t="s">
        <v>10</v>
      </c>
      <c r="F33" s="3">
        <v>54059</v>
      </c>
    </row>
    <row r="34" spans="3:6" s="4" customFormat="1" ht="15.75" x14ac:dyDescent="0.25">
      <c r="C34" s="3" t="s">
        <v>6</v>
      </c>
      <c r="D34" s="3">
        <v>35</v>
      </c>
      <c r="E34" s="4" t="s">
        <v>10</v>
      </c>
      <c r="F34" s="3">
        <v>67698</v>
      </c>
    </row>
    <row r="35" spans="3:6" s="4" customFormat="1" ht="15.75" x14ac:dyDescent="0.25">
      <c r="C35" s="3" t="s">
        <v>6</v>
      </c>
      <c r="D35" s="3">
        <v>27</v>
      </c>
      <c r="E35" s="4" t="s">
        <v>10</v>
      </c>
      <c r="F35" s="3">
        <v>53911</v>
      </c>
    </row>
    <row r="36" spans="3:6" s="4" customFormat="1" ht="15.75" x14ac:dyDescent="0.25">
      <c r="C36" s="3" t="s">
        <v>6</v>
      </c>
      <c r="D36" s="3">
        <v>42</v>
      </c>
      <c r="E36" s="4" t="s">
        <v>8</v>
      </c>
      <c r="F36" s="3">
        <v>95585</v>
      </c>
    </row>
    <row r="37" spans="3:6" s="4" customFormat="1" ht="15.75" x14ac:dyDescent="0.25">
      <c r="C37" s="3" t="s">
        <v>6</v>
      </c>
      <c r="D37" s="3">
        <v>32</v>
      </c>
      <c r="E37" s="4" t="s">
        <v>8</v>
      </c>
      <c r="F37" s="3">
        <v>84280</v>
      </c>
    </row>
    <row r="38" spans="3:6" s="4" customFormat="1" ht="15.75" x14ac:dyDescent="0.25">
      <c r="C38" s="3" t="s">
        <v>6</v>
      </c>
      <c r="D38" s="3">
        <v>57</v>
      </c>
      <c r="E38" s="4" t="s">
        <v>8</v>
      </c>
      <c r="F38" s="3">
        <v>110696</v>
      </c>
    </row>
    <row r="39" spans="3:6" s="4" customFormat="1" ht="15.75" x14ac:dyDescent="0.25">
      <c r="C39" s="3" t="s">
        <v>6</v>
      </c>
      <c r="D39" s="3">
        <v>45</v>
      </c>
      <c r="E39" s="4" t="s">
        <v>8</v>
      </c>
      <c r="F39" s="3">
        <v>93298</v>
      </c>
    </row>
    <row r="40" spans="3:6" s="4" customFormat="1" ht="15.75" x14ac:dyDescent="0.25">
      <c r="C40" s="3" t="s">
        <v>6</v>
      </c>
      <c r="D40" s="3">
        <v>43</v>
      </c>
      <c r="E40" s="4" t="s">
        <v>8</v>
      </c>
      <c r="F40" s="3">
        <v>91054</v>
      </c>
    </row>
    <row r="41" spans="3:6" s="4" customFormat="1" ht="15.75" x14ac:dyDescent="0.25">
      <c r="C41" s="3" t="s">
        <v>6</v>
      </c>
      <c r="D41" s="3">
        <v>45</v>
      </c>
      <c r="E41" s="4" t="s">
        <v>8</v>
      </c>
      <c r="F41" s="3">
        <v>98455</v>
      </c>
    </row>
    <row r="42" spans="3:6" s="4" customFormat="1" ht="15.75" x14ac:dyDescent="0.25">
      <c r="C42" s="3" t="s">
        <v>4</v>
      </c>
      <c r="D42" s="3">
        <v>33</v>
      </c>
      <c r="E42" s="4" t="s">
        <v>8</v>
      </c>
      <c r="F42" s="3">
        <v>83991</v>
      </c>
    </row>
    <row r="43" spans="3:6" s="4" customFormat="1" ht="15.75" x14ac:dyDescent="0.25">
      <c r="C43" s="3" t="s">
        <v>4</v>
      </c>
      <c r="D43" s="3">
        <v>46</v>
      </c>
      <c r="E43" s="4" t="s">
        <v>8</v>
      </c>
      <c r="F43" s="3">
        <v>99335</v>
      </c>
    </row>
    <row r="44" spans="3:6" s="4" customFormat="1" ht="15.75" x14ac:dyDescent="0.25">
      <c r="C44" s="3" t="s">
        <v>6</v>
      </c>
      <c r="D44" s="3">
        <v>23</v>
      </c>
      <c r="E44" s="4" t="s">
        <v>8</v>
      </c>
      <c r="F44" s="3">
        <v>75539</v>
      </c>
    </row>
    <row r="45" spans="3:6" s="4" customFormat="1" ht="15.75" x14ac:dyDescent="0.25">
      <c r="C45" s="3" t="s">
        <v>4</v>
      </c>
      <c r="D45" s="3">
        <v>50</v>
      </c>
      <c r="E45" s="4" t="s">
        <v>5</v>
      </c>
      <c r="F45" s="3">
        <v>112363</v>
      </c>
    </row>
    <row r="46" spans="3:6" s="4" customFormat="1" ht="15.75" x14ac:dyDescent="0.25">
      <c r="C46" s="3" t="s">
        <v>6</v>
      </c>
      <c r="D46" s="3">
        <v>36</v>
      </c>
      <c r="E46" s="4" t="s">
        <v>5</v>
      </c>
      <c r="F46" s="3">
        <v>97032</v>
      </c>
    </row>
    <row r="47" spans="3:6" s="4" customFormat="1" ht="15.75" x14ac:dyDescent="0.25">
      <c r="C47" s="3" t="s">
        <v>4</v>
      </c>
      <c r="D47" s="3">
        <v>42</v>
      </c>
      <c r="E47" s="4" t="s">
        <v>5</v>
      </c>
      <c r="F47" s="3">
        <v>104172</v>
      </c>
    </row>
    <row r="48" spans="3:6" s="4" customFormat="1" ht="15.75" x14ac:dyDescent="0.25">
      <c r="C48" s="3" t="s">
        <v>4</v>
      </c>
      <c r="D48" s="3">
        <v>54</v>
      </c>
      <c r="E48" s="4" t="s">
        <v>5</v>
      </c>
      <c r="F48" s="3">
        <v>115107</v>
      </c>
    </row>
    <row r="49" spans="3:6" s="4" customFormat="1" ht="15.75" x14ac:dyDescent="0.25">
      <c r="C49" s="3" t="s">
        <v>6</v>
      </c>
      <c r="D49" s="3">
        <v>28</v>
      </c>
      <c r="E49" s="4" t="s">
        <v>5</v>
      </c>
      <c r="F49" s="3">
        <v>84527</v>
      </c>
    </row>
    <row r="50" spans="3:6" s="4" customFormat="1" ht="15.75" x14ac:dyDescent="0.25">
      <c r="C50" s="3" t="s">
        <v>4</v>
      </c>
      <c r="D50" s="3">
        <v>57</v>
      </c>
      <c r="E50" s="4" t="s">
        <v>5</v>
      </c>
      <c r="F50" s="3">
        <v>126561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2"/>
  <sheetViews>
    <sheetView workbookViewId="0">
      <selection activeCell="M14" sqref="M14"/>
    </sheetView>
  </sheetViews>
  <sheetFormatPr defaultRowHeight="15" x14ac:dyDescent="0.25"/>
  <cols>
    <col min="1" max="1" width="13.140625" bestFit="1" customWidth="1"/>
    <col min="2" max="2" width="13.140625" customWidth="1"/>
    <col min="3" max="3" width="11" customWidth="1"/>
    <col min="4" max="4" width="13.140625" bestFit="1" customWidth="1"/>
    <col min="5" max="6" width="12.85546875" customWidth="1"/>
    <col min="7" max="7" width="13.140625" customWidth="1"/>
    <col min="8" max="8" width="11" customWidth="1"/>
    <col min="9" max="9" width="15.85546875" customWidth="1"/>
    <col min="10" max="10" width="13.140625" customWidth="1"/>
    <col min="11" max="11" width="12.85546875" customWidth="1"/>
    <col min="12" max="12" width="13.140625" customWidth="1"/>
  </cols>
  <sheetData>
    <row r="2" spans="2:11" ht="15.75" x14ac:dyDescent="0.25">
      <c r="B2" s="9" t="s">
        <v>16</v>
      </c>
      <c r="C2" s="9"/>
      <c r="E2" s="9" t="s">
        <v>18</v>
      </c>
      <c r="F2" s="8"/>
      <c r="H2" s="9" t="s">
        <v>20</v>
      </c>
      <c r="I2" s="9"/>
    </row>
    <row r="3" spans="2:11" x14ac:dyDescent="0.25">
      <c r="B3" s="5" t="s">
        <v>12</v>
      </c>
      <c r="C3" t="s">
        <v>13</v>
      </c>
      <c r="E3" s="5" t="s">
        <v>12</v>
      </c>
      <c r="F3" t="s">
        <v>15</v>
      </c>
      <c r="H3" s="5" t="s">
        <v>12</v>
      </c>
      <c r="I3" t="s">
        <v>19</v>
      </c>
    </row>
    <row r="4" spans="2:11" x14ac:dyDescent="0.25">
      <c r="B4" s="6" t="s">
        <v>5</v>
      </c>
      <c r="C4" s="7">
        <v>267</v>
      </c>
      <c r="E4" s="6" t="s">
        <v>5</v>
      </c>
      <c r="F4" s="7">
        <v>639762</v>
      </c>
      <c r="H4" s="6" t="s">
        <v>5</v>
      </c>
      <c r="I4" s="7">
        <v>6</v>
      </c>
    </row>
    <row r="5" spans="2:11" x14ac:dyDescent="0.25">
      <c r="B5" s="6" t="s">
        <v>8</v>
      </c>
      <c r="C5" s="7">
        <v>366</v>
      </c>
      <c r="E5" s="6" t="s">
        <v>8</v>
      </c>
      <c r="F5" s="7">
        <v>832233</v>
      </c>
      <c r="H5" s="6" t="s">
        <v>8</v>
      </c>
      <c r="I5" s="7">
        <v>9</v>
      </c>
    </row>
    <row r="6" spans="2:11" x14ac:dyDescent="0.25">
      <c r="B6" s="6" t="s">
        <v>10</v>
      </c>
      <c r="C6" s="7">
        <v>389</v>
      </c>
      <c r="E6" s="6" t="s">
        <v>10</v>
      </c>
      <c r="F6" s="7">
        <v>724173</v>
      </c>
      <c r="H6" s="6" t="s">
        <v>10</v>
      </c>
      <c r="I6" s="7">
        <v>11</v>
      </c>
    </row>
    <row r="7" spans="2:11" x14ac:dyDescent="0.25">
      <c r="B7" s="6" t="s">
        <v>9</v>
      </c>
      <c r="C7" s="7">
        <v>322</v>
      </c>
      <c r="E7" s="6" t="s">
        <v>9</v>
      </c>
      <c r="F7" s="7">
        <v>617583</v>
      </c>
      <c r="H7" s="6" t="s">
        <v>9</v>
      </c>
      <c r="I7" s="7">
        <v>8</v>
      </c>
    </row>
    <row r="8" spans="2:11" x14ac:dyDescent="0.25">
      <c r="B8" s="6" t="s">
        <v>7</v>
      </c>
      <c r="C8" s="7">
        <v>460</v>
      </c>
      <c r="E8" s="6" t="s">
        <v>7</v>
      </c>
      <c r="F8" s="7">
        <v>988865</v>
      </c>
      <c r="H8" s="6" t="s">
        <v>7</v>
      </c>
      <c r="I8" s="7">
        <v>13</v>
      </c>
    </row>
    <row r="9" spans="2:11" x14ac:dyDescent="0.25">
      <c r="B9" s="6" t="s">
        <v>14</v>
      </c>
      <c r="C9" s="7">
        <v>1804</v>
      </c>
      <c r="E9" s="6" t="s">
        <v>14</v>
      </c>
      <c r="F9" s="7">
        <v>3802616</v>
      </c>
      <c r="H9" s="6" t="s">
        <v>14</v>
      </c>
      <c r="I9" s="7">
        <v>47</v>
      </c>
    </row>
    <row r="12" spans="2:11" x14ac:dyDescent="0.25">
      <c r="J12" s="5" t="s">
        <v>0</v>
      </c>
      <c r="K12" t="s">
        <v>17</v>
      </c>
    </row>
    <row r="13" spans="2:11" ht="15.75" x14ac:dyDescent="0.25">
      <c r="D13" s="9" t="s">
        <v>22</v>
      </c>
      <c r="E13" s="9"/>
      <c r="J13" s="5" t="s">
        <v>1</v>
      </c>
      <c r="K13" t="s">
        <v>17</v>
      </c>
    </row>
    <row r="14" spans="2:11" x14ac:dyDescent="0.25">
      <c r="D14" s="5" t="s">
        <v>0</v>
      </c>
      <c r="E14" t="s">
        <v>17</v>
      </c>
    </row>
    <row r="15" spans="2:11" ht="15.75" x14ac:dyDescent="0.25">
      <c r="G15" s="9" t="s">
        <v>21</v>
      </c>
      <c r="H15" s="9"/>
      <c r="J15" s="5" t="s">
        <v>12</v>
      </c>
      <c r="K15" t="s">
        <v>15</v>
      </c>
    </row>
    <row r="16" spans="2:11" x14ac:dyDescent="0.25">
      <c r="D16" s="5" t="s">
        <v>12</v>
      </c>
      <c r="E16" t="s">
        <v>15</v>
      </c>
      <c r="G16" s="5" t="s">
        <v>12</v>
      </c>
      <c r="H16" t="s">
        <v>13</v>
      </c>
      <c r="J16" s="6" t="s">
        <v>5</v>
      </c>
      <c r="K16" s="7">
        <v>639762</v>
      </c>
    </row>
    <row r="17" spans="4:11" x14ac:dyDescent="0.25">
      <c r="D17" s="6" t="s">
        <v>5</v>
      </c>
      <c r="E17" s="7">
        <v>639762</v>
      </c>
      <c r="G17" s="6" t="s">
        <v>6</v>
      </c>
      <c r="H17" s="7">
        <v>914</v>
      </c>
      <c r="J17" s="6" t="s">
        <v>8</v>
      </c>
      <c r="K17" s="7">
        <v>832233</v>
      </c>
    </row>
    <row r="18" spans="4:11" x14ac:dyDescent="0.25">
      <c r="D18" s="6" t="s">
        <v>8</v>
      </c>
      <c r="E18" s="7">
        <v>832233</v>
      </c>
      <c r="G18" s="6" t="s">
        <v>4</v>
      </c>
      <c r="H18" s="7">
        <v>890</v>
      </c>
      <c r="J18" s="6" t="s">
        <v>10</v>
      </c>
      <c r="K18" s="7">
        <v>724173</v>
      </c>
    </row>
    <row r="19" spans="4:11" x14ac:dyDescent="0.25">
      <c r="D19" s="6" t="s">
        <v>10</v>
      </c>
      <c r="E19" s="7">
        <v>724173</v>
      </c>
      <c r="G19" s="6" t="s">
        <v>14</v>
      </c>
      <c r="H19" s="7">
        <v>1804</v>
      </c>
      <c r="J19" s="6" t="s">
        <v>9</v>
      </c>
      <c r="K19" s="7">
        <v>617583</v>
      </c>
    </row>
    <row r="20" spans="4:11" x14ac:dyDescent="0.25">
      <c r="D20" s="6" t="s">
        <v>9</v>
      </c>
      <c r="E20" s="7">
        <v>617583</v>
      </c>
      <c r="J20" s="6" t="s">
        <v>7</v>
      </c>
      <c r="K20" s="7">
        <v>988865</v>
      </c>
    </row>
    <row r="21" spans="4:11" x14ac:dyDescent="0.25">
      <c r="D21" s="6" t="s">
        <v>7</v>
      </c>
      <c r="E21" s="7">
        <v>988865</v>
      </c>
      <c r="J21" s="6" t="s">
        <v>14</v>
      </c>
      <c r="K21" s="7">
        <v>3802616</v>
      </c>
    </row>
    <row r="22" spans="4:11" x14ac:dyDescent="0.25">
      <c r="D22" s="6" t="s">
        <v>14</v>
      </c>
      <c r="E22" s="7">
        <v>3802616</v>
      </c>
    </row>
  </sheetData>
  <mergeCells count="5">
    <mergeCell ref="B2:C2"/>
    <mergeCell ref="E2:F2"/>
    <mergeCell ref="H2:I2"/>
    <mergeCell ref="G15:H15"/>
    <mergeCell ref="D13:E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S19" sqref="S19"/>
    </sheetView>
  </sheetViews>
  <sheetFormatPr defaultRowHeight="15" x14ac:dyDescent="0.25"/>
  <cols>
    <col min="1" max="1" width="13.140625" customWidth="1"/>
    <col min="2" max="2" width="12.85546875" customWidth="1"/>
    <col min="3" max="3" width="11"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O18"/>
  <sheetViews>
    <sheetView workbookViewId="0">
      <selection activeCell="J11" sqref="J11"/>
    </sheetView>
  </sheetViews>
  <sheetFormatPr defaultRowHeight="15.75" x14ac:dyDescent="0.25"/>
  <cols>
    <col min="1" max="2" width="9.140625" style="4"/>
    <col min="3" max="3" width="15.85546875" style="4" customWidth="1"/>
    <col min="4" max="4" width="14.85546875" style="4" customWidth="1"/>
    <col min="5" max="5" width="14" style="4" customWidth="1"/>
    <col min="6" max="6" width="48.28515625" style="4" customWidth="1"/>
    <col min="7" max="16384" width="9.140625" style="4"/>
  </cols>
  <sheetData>
    <row r="3" spans="3:15" ht="18.75" x14ac:dyDescent="0.25">
      <c r="C3" s="17" t="s">
        <v>23</v>
      </c>
      <c r="D3" s="17"/>
    </row>
    <row r="4" spans="3:15" x14ac:dyDescent="0.25">
      <c r="C4" s="12"/>
    </row>
    <row r="5" spans="3:15" x14ac:dyDescent="0.25">
      <c r="C5" s="10" t="s">
        <v>31</v>
      </c>
    </row>
    <row r="6" spans="3:15" ht="16.5" thickBot="1" x14ac:dyDescent="0.3">
      <c r="C6" s="10"/>
    </row>
    <row r="7" spans="3:15" ht="22.5" customHeight="1" thickBot="1" x14ac:dyDescent="0.3">
      <c r="C7" s="25" t="s">
        <v>2</v>
      </c>
      <c r="D7" s="25" t="s">
        <v>11</v>
      </c>
      <c r="E7" s="25" t="s">
        <v>24</v>
      </c>
      <c r="F7" s="25" t="s">
        <v>25</v>
      </c>
    </row>
    <row r="8" spans="3:15" ht="18" customHeight="1" x14ac:dyDescent="0.25">
      <c r="C8" s="27" t="s">
        <v>7</v>
      </c>
      <c r="D8" s="24">
        <v>13</v>
      </c>
      <c r="E8" s="27" t="s">
        <v>32</v>
      </c>
      <c r="F8" s="26" t="s">
        <v>26</v>
      </c>
    </row>
    <row r="9" spans="3:15" ht="20.25" customHeight="1" x14ac:dyDescent="0.25">
      <c r="C9" s="18" t="s">
        <v>10</v>
      </c>
      <c r="D9" s="20">
        <v>11</v>
      </c>
      <c r="E9" s="18" t="s">
        <v>33</v>
      </c>
      <c r="F9" s="22" t="s">
        <v>27</v>
      </c>
    </row>
    <row r="10" spans="3:15" ht="21.75" customHeight="1" x14ac:dyDescent="0.25">
      <c r="C10" s="18" t="s">
        <v>9</v>
      </c>
      <c r="D10" s="20">
        <v>8</v>
      </c>
      <c r="E10" s="18" t="s">
        <v>34</v>
      </c>
      <c r="F10" s="22" t="s">
        <v>28</v>
      </c>
    </row>
    <row r="11" spans="3:15" ht="21.75" customHeight="1" x14ac:dyDescent="0.25">
      <c r="C11" s="18" t="s">
        <v>8</v>
      </c>
      <c r="D11" s="20">
        <v>8</v>
      </c>
      <c r="E11" s="18" t="s">
        <v>35</v>
      </c>
      <c r="F11" s="22" t="s">
        <v>29</v>
      </c>
    </row>
    <row r="12" spans="3:15" ht="23.25" customHeight="1" thickBot="1" x14ac:dyDescent="0.3">
      <c r="C12" s="19" t="s">
        <v>5</v>
      </c>
      <c r="D12" s="21">
        <v>6</v>
      </c>
      <c r="E12" s="19" t="s">
        <v>36</v>
      </c>
      <c r="F12" s="23" t="s">
        <v>37</v>
      </c>
    </row>
    <row r="13" spans="3:15" ht="23.25" customHeight="1" x14ac:dyDescent="0.25">
      <c r="C13" s="13"/>
      <c r="D13" s="14"/>
      <c r="E13" s="14"/>
      <c r="F13" s="13"/>
    </row>
    <row r="14" spans="3:15" ht="18.75" x14ac:dyDescent="0.25">
      <c r="C14" s="16" t="s">
        <v>30</v>
      </c>
    </row>
    <row r="15" spans="3:15" ht="18.75" x14ac:dyDescent="0.25">
      <c r="C15" s="16"/>
    </row>
    <row r="16" spans="3:15" ht="21" customHeight="1" x14ac:dyDescent="0.25">
      <c r="C16" s="11" t="s">
        <v>38</v>
      </c>
      <c r="D16" s="11"/>
      <c r="E16" s="11"/>
      <c r="F16" s="11"/>
      <c r="G16" s="15"/>
      <c r="H16" s="15"/>
      <c r="I16" s="15"/>
      <c r="J16" s="15"/>
      <c r="K16" s="15"/>
      <c r="L16" s="15"/>
      <c r="M16" s="15"/>
      <c r="N16" s="15"/>
      <c r="O16" s="15"/>
    </row>
    <row r="17" spans="3:15" ht="19.5" customHeight="1" x14ac:dyDescent="0.25">
      <c r="C17" s="11" t="s">
        <v>39</v>
      </c>
      <c r="D17" s="11"/>
      <c r="E17" s="11"/>
      <c r="F17" s="11"/>
      <c r="G17" s="15"/>
      <c r="H17" s="15"/>
      <c r="I17" s="15"/>
      <c r="J17" s="15"/>
      <c r="K17" s="15"/>
      <c r="L17" s="15"/>
      <c r="M17" s="15"/>
      <c r="N17" s="15"/>
      <c r="O17" s="15"/>
    </row>
    <row r="18" spans="3:15" ht="19.5" customHeight="1" x14ac:dyDescent="0.25">
      <c r="C18" s="11" t="s">
        <v>40</v>
      </c>
      <c r="D18" s="11"/>
      <c r="E18" s="11"/>
      <c r="F18" s="11"/>
      <c r="G18" s="11"/>
      <c r="H18" s="11"/>
      <c r="I18" s="11"/>
      <c r="J18" s="11"/>
      <c r="K18" s="11"/>
      <c r="L18" s="11"/>
      <c r="M18" s="11"/>
      <c r="N18" s="11"/>
      <c r="O18" s="11"/>
    </row>
  </sheetData>
  <mergeCells count="4">
    <mergeCell ref="C16:F16"/>
    <mergeCell ref="C17:F17"/>
    <mergeCell ref="C18:O18"/>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Source Data</vt:lpstr>
      <vt:lpstr>Pivot Tables</vt:lpstr>
      <vt:lpstr>Employee Demographic Dashboard</vt:lpstr>
      <vt:lpstr>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2026-05-24T17:34:10Z</dcterms:created>
  <dcterms:modified xsi:type="dcterms:W3CDTF">2026-05-27T13:21:47Z</dcterms:modified>
</cp:coreProperties>
</file>