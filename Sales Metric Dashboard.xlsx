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enovo\Desktop\"/>
    </mc:Choice>
  </mc:AlternateContent>
  <bookViews>
    <workbookView xWindow="0" yWindow="0" windowWidth="20490" windowHeight="7755"/>
  </bookViews>
  <sheets>
    <sheet name="Source Data" sheetId="1" r:id="rId1"/>
    <sheet name="Pivot Tables" sheetId="2" r:id="rId2"/>
    <sheet name="Sales Dashboard" sheetId="5" r:id="rId3"/>
  </sheets>
  <definedNames>
    <definedName name="Slicer_Date">#N/A</definedName>
    <definedName name="Slicer_Quantity_Sold">#N/A</definedName>
    <definedName name="Slicer_Revenue">#N/A</definedName>
  </definedNames>
  <calcPr calcId="152511"/>
  <pivotCaches>
    <pivotCache cacheId="0" r:id="rId4"/>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0" i="1" l="1"/>
</calcChain>
</file>

<file path=xl/sharedStrings.xml><?xml version="1.0" encoding="utf-8"?>
<sst xmlns="http://schemas.openxmlformats.org/spreadsheetml/2006/main" count="335" uniqueCount="99">
  <si>
    <t>Date</t>
  </si>
  <si>
    <t>Category</t>
  </si>
  <si>
    <t>Quantity Sold</t>
  </si>
  <si>
    <t>Avg Price (₹)</t>
  </si>
  <si>
    <t>Revenue (₹)</t>
  </si>
  <si>
    <t>Groceries</t>
  </si>
  <si>
    <t>₹371.99</t>
  </si>
  <si>
    <t>₹226,915.43</t>
  </si>
  <si>
    <t>Apparel</t>
  </si>
  <si>
    <t>₹2,086.67</t>
  </si>
  <si>
    <t>₹281,699.78</t>
  </si>
  <si>
    <t>Home &amp; Kitchen</t>
  </si>
  <si>
    <t>₹3,832.65</t>
  </si>
  <si>
    <t>₹229,959.00</t>
  </si>
  <si>
    <t>Personal Care</t>
  </si>
  <si>
    <t>₹669.59</t>
  </si>
  <si>
    <t>₹110,481.77</t>
  </si>
  <si>
    <t>₹228,403.40</t>
  </si>
  <si>
    <t>₹111,151.36</t>
  </si>
  <si>
    <t>₹229,891.37</t>
  </si>
  <si>
    <t>₹283,786.44</t>
  </si>
  <si>
    <t>₹111,820.95</t>
  </si>
  <si>
    <t>₹117,549.63</t>
  </si>
  <si>
    <t>₹2,025.29</t>
  </si>
  <si>
    <t>₹103,289.92</t>
  </si>
  <si>
    <t>₹3,719.93</t>
  </si>
  <si>
    <t>₹100,437.98</t>
  </si>
  <si>
    <t>₹47,540.64</t>
  </si>
  <si>
    <t>₹118,293.62</t>
  </si>
  <si>
    <t>₹119,037.60</t>
  </si>
  <si>
    <t>₹48,210.23</t>
  </si>
  <si>
    <t>₹119,781.59</t>
  </si>
  <si>
    <t>₹105,315.21</t>
  </si>
  <si>
    <t>₹104,157.90</t>
  </si>
  <si>
    <t>₹237,331.22</t>
  </si>
  <si>
    <t>₹294,219.77</t>
  </si>
  <si>
    <t>₹237,624.30</t>
  </si>
  <si>
    <t>₹115,168.88</t>
  </si>
  <si>
    <t>₹238,819.19</t>
  </si>
  <si>
    <t>₹296,306.43</t>
  </si>
  <si>
    <t>₹241,456.95</t>
  </si>
  <si>
    <t>₹115,838.46</t>
  </si>
  <si>
    <t>₹240,307.16</t>
  </si>
  <si>
    <t>₹298,393.10</t>
  </si>
  <si>
    <t>₹116,508.05</t>
  </si>
  <si>
    <t>₹122,757.53</t>
  </si>
  <si>
    <t>₹107,340.50</t>
  </si>
  <si>
    <t>₹49,549.40</t>
  </si>
  <si>
    <t>₹123,501.51</t>
  </si>
  <si>
    <t>₹50,218.99</t>
  </si>
  <si>
    <t>₹124,245.50</t>
  </si>
  <si>
    <t>₹109,365.80</t>
  </si>
  <si>
    <t>₹107,877.83</t>
  </si>
  <si>
    <t>₹124,989.48</t>
  </si>
  <si>
    <t>₹50,888.57</t>
  </si>
  <si>
    <t>₹247,747.01</t>
  </si>
  <si>
    <t>₹306,739.76</t>
  </si>
  <si>
    <t>₹249,122.25</t>
  </si>
  <si>
    <t>₹120,525.57</t>
  </si>
  <si>
    <t>₹249,606.97</t>
  </si>
  <si>
    <t>₹308,826.42</t>
  </si>
  <si>
    <t>₹252,954.90</t>
  </si>
  <si>
    <t>₹121,195.16</t>
  </si>
  <si>
    <t>₹251,094.94</t>
  </si>
  <si>
    <t>₹310,913.09</t>
  </si>
  <si>
    <t>₹121,864.74</t>
  </si>
  <si>
    <t>₹128,337.41</t>
  </si>
  <si>
    <t>₹111,391.09</t>
  </si>
  <si>
    <t>₹111,597.75</t>
  </si>
  <si>
    <t>₹51,558.16</t>
  </si>
  <si>
    <t>₹129,081.40</t>
  </si>
  <si>
    <t>₹113,416.38</t>
  </si>
  <si>
    <t>₹52,227.75</t>
  </si>
  <si>
    <t>₹129,825.38</t>
  </si>
  <si>
    <t>₹130,569.37</t>
  </si>
  <si>
    <t>₹52,897.33</t>
  </si>
  <si>
    <t>₹258,534.79</t>
  </si>
  <si>
    <t>₹319,259.75</t>
  </si>
  <si>
    <t>₹260,620.20</t>
  </si>
  <si>
    <t>₹125,882.26</t>
  </si>
  <si>
    <t>₹260,022.76</t>
  </si>
  <si>
    <t>₹321,346.41</t>
  </si>
  <si>
    <t>₹126,551.85</t>
  </si>
  <si>
    <t>₹261,510.73</t>
  </si>
  <si>
    <t>₹323,433.08</t>
  </si>
  <si>
    <t>₹264,452.85</t>
  </si>
  <si>
    <t>₹127,221.44</t>
  </si>
  <si>
    <t>Row Labels</t>
  </si>
  <si>
    <t>Sum of Quantity Sold</t>
  </si>
  <si>
    <t>Grand Total</t>
  </si>
  <si>
    <t>Count of Revenue (₹)</t>
  </si>
  <si>
    <t>Total</t>
  </si>
  <si>
    <t>(blank)</t>
  </si>
  <si>
    <t>(All)</t>
  </si>
  <si>
    <t>Sales by Date &amp; Category</t>
  </si>
  <si>
    <t>Qty sold</t>
  </si>
  <si>
    <t xml:space="preserve">Personal Care </t>
  </si>
  <si>
    <t>Sales by Revenue</t>
  </si>
  <si>
    <t>Quantity &amp;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</si>
</sst>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15" fontId="2"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horizontal="center"/>
    </xf>
    <xf numFmtId="0" fontId="2" fillId="0" borderId="0" xfId="0" applyFont="1"/>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0" fillId="0" borderId="0" xfId="0" pivotButton="1"/>
    <xf numFmtId="0" fontId="0" fillId="0" borderId="0" xfId="0" applyNumberFormat="1"/>
    <xf numFmtId="164" fontId="1" fillId="0" borderId="0" xfId="0" applyNumberFormat="1" applyFont="1" applyAlignment="1">
      <alignment horizontal="center" vertical="center"/>
    </xf>
    <xf numFmtId="164" fontId="2" fillId="0" borderId="0" xfId="0" applyNumberFormat="1" applyFont="1" applyAlignment="1">
      <alignment horizontal="center"/>
    </xf>
    <xf numFmtId="164" fontId="0" fillId="0" borderId="0" xfId="0" applyNumberFormat="1" applyAlignment="1">
      <alignment horizontal="center"/>
    </xf>
    <xf numFmtId="1" fontId="2" fillId="0" borderId="0" xfId="0" applyNumberFormat="1" applyFont="1" applyAlignment="1">
      <alignment horizontal="center"/>
    </xf>
    <xf numFmtId="3" fontId="2" fillId="0" borderId="0" xfId="0" applyNumberFormat="1" applyFont="1" applyAlignment="1">
      <alignment horizontal="center"/>
    </xf>
    <xf numFmtId="0" fontId="0" fillId="0" borderId="0" xfId="0" applyAlignment="1">
      <alignment horizontal="left" indent="1"/>
    </xf>
    <xf numFmtId="0" fontId="4" fillId="0" borderId="0" xfId="0" applyNumberFormat="1" applyFont="1"/>
    <xf numFmtId="0" fontId="4" fillId="0" borderId="0" xfId="0" pivotButton="1" applyFont="1"/>
    <xf numFmtId="0" fontId="4" fillId="0" borderId="0" xfId="0" applyFont="1" applyAlignment="1">
      <alignment horizontal="left"/>
    </xf>
    <xf numFmtId="0" fontId="3" fillId="2" borderId="0" xfId="0" applyFont="1" applyFill="1" applyAlignment="1">
      <alignment horizontal="center"/>
    </xf>
  </cellXfs>
  <cellStyles count="1">
    <cellStyle name="Normal" xfId="0" builtinId="0"/>
  </cellStyles>
  <dxfs count="11">
    <dxf>
      <font>
        <b/>
      </font>
    </dxf>
    <dxf>
      <font>
        <b/>
      </font>
    </dxf>
    <dxf>
      <font>
        <b/>
      </font>
    </dxf>
    <dxf>
      <font>
        <b/>
      </font>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20" formatCode="d\-mmm\-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1111111111111109E-2"/>
          <c:y val="0.19486111111111112"/>
          <c:w val="0.93888888888888888"/>
          <c:h val="0.60741274361981346"/>
        </c:manualLayout>
      </c:layout>
      <c:barChart>
        <c:barDir val="col"/>
        <c:grouping val="clustered"/>
        <c:varyColors val="0"/>
        <c:ser>
          <c:idx val="0"/>
          <c:order val="0"/>
          <c:tx>
            <c:strRef>
              <c:f>'Pivot Tables'!$C$6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Tables'!$B$7:$B$12</c:f>
              <c:strCache>
                <c:ptCount val="5"/>
                <c:pt idx="0">
                  <c:v>Apparel</c:v>
                </c:pt>
                <c:pt idx="1">
                  <c:v>Groceries</c:v>
                </c:pt>
                <c:pt idx="2">
                  <c:v>Home &amp; Kitchen</c:v>
                </c:pt>
                <c:pt idx="3">
                  <c:v>Personal Care</c:v>
                </c:pt>
                <c:pt idx="4">
                  <c:v>Total</c:v>
                </c:pt>
              </c:strCache>
            </c:strRef>
          </c:cat>
          <c:val>
            <c:numRef>
              <c:f>'Pivot Tables'!$C$7:$C$12</c:f>
              <c:numCache>
                <c:formatCode>General</c:formatCode>
                <c:ptCount val="5"/>
                <c:pt idx="0">
                  <c:v>2380</c:v>
                </c:pt>
                <c:pt idx="1">
                  <c:v>11877</c:v>
                </c:pt>
                <c:pt idx="2">
                  <c:v>1113</c:v>
                </c:pt>
                <c:pt idx="3">
                  <c:v>3025</c:v>
                </c:pt>
                <c:pt idx="4">
                  <c:v>18395</c:v>
                </c:pt>
              </c:numCache>
            </c:numRef>
          </c:val>
        </c:ser>
        <c:dLbls>
          <c:dLblPos val="outEnd"/>
          <c:showLegendKey val="0"/>
          <c:showVal val="1"/>
          <c:showCatName val="0"/>
          <c:showSerName val="0"/>
          <c:showPercent val="0"/>
          <c:showBubbleSize val="0"/>
        </c:dLbls>
        <c:gapWidth val="219"/>
        <c:overlap val="-27"/>
        <c:axId val="306133976"/>
        <c:axId val="306134760"/>
      </c:barChart>
      <c:catAx>
        <c:axId val="306133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134760"/>
        <c:crosses val="autoZero"/>
        <c:auto val="1"/>
        <c:lblAlgn val="ctr"/>
        <c:lblOffset val="100"/>
        <c:noMultiLvlLbl val="0"/>
      </c:catAx>
      <c:valAx>
        <c:axId val="306134760"/>
        <c:scaling>
          <c:orientation val="minMax"/>
        </c:scaling>
        <c:delete val="1"/>
        <c:axPos val="l"/>
        <c:numFmt formatCode="General" sourceLinked="1"/>
        <c:majorTickMark val="out"/>
        <c:minorTickMark val="none"/>
        <c:tickLblPos val="nextTo"/>
        <c:crossAx val="306133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Tables'!$E$7:$E$12</c:f>
              <c:strCache>
                <c:ptCount val="5"/>
                <c:pt idx="0">
                  <c:v>Apparel</c:v>
                </c:pt>
                <c:pt idx="1">
                  <c:v>Groceries</c:v>
                </c:pt>
                <c:pt idx="2">
                  <c:v>Home &amp; Kitchen</c:v>
                </c:pt>
                <c:pt idx="3">
                  <c:v>Personal Care</c:v>
                </c:pt>
                <c:pt idx="4">
                  <c:v>Total</c:v>
                </c:pt>
              </c:strCache>
            </c:strRef>
          </c:cat>
          <c:val>
            <c:numRef>
              <c:f>'Pivot Tables'!$F$7:$F$12</c:f>
              <c:numCache>
                <c:formatCode>General</c:formatCode>
                <c:ptCount val="5"/>
                <c:pt idx="0">
                  <c:v>24</c:v>
                </c:pt>
                <c:pt idx="1">
                  <c:v>24</c:v>
                </c:pt>
                <c:pt idx="2">
                  <c:v>24</c:v>
                </c:pt>
                <c:pt idx="3">
                  <c:v>24</c:v>
                </c:pt>
              </c:numCache>
            </c:numRef>
          </c:val>
        </c:ser>
        <c:dLbls>
          <c:dLblPos val="outEnd"/>
          <c:showLegendKey val="0"/>
          <c:showVal val="1"/>
          <c:showCatName val="0"/>
          <c:showSerName val="0"/>
          <c:showPercent val="0"/>
          <c:showBubbleSize val="0"/>
        </c:dLbls>
        <c:gapWidth val="182"/>
        <c:axId val="368197520"/>
        <c:axId val="310072504"/>
      </c:barChart>
      <c:catAx>
        <c:axId val="368197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2504"/>
        <c:crosses val="autoZero"/>
        <c:auto val="1"/>
        <c:lblAlgn val="ctr"/>
        <c:lblOffset val="100"/>
        <c:noMultiLvlLbl val="0"/>
      </c:catAx>
      <c:valAx>
        <c:axId val="310072504"/>
        <c:scaling>
          <c:orientation val="minMax"/>
        </c:scaling>
        <c:delete val="1"/>
        <c:axPos val="b"/>
        <c:numFmt formatCode="General" sourceLinked="1"/>
        <c:majorTickMark val="out"/>
        <c:minorTickMark val="none"/>
        <c:tickLblPos val="nextTo"/>
        <c:crossAx val="368197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&amp;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Tables'!$D$19</c:f>
              <c:strCache>
                <c:ptCount val="1"/>
                <c:pt idx="0">
                  <c:v>Sum of Quantity Sold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Tables'!$C$20:$C$26</c:f>
              <c:multiLvlStrCache>
                <c:ptCount val="5"/>
                <c:lvl>
                  <c:pt idx="4">
                    <c:v>(blank)</c:v>
                  </c:pt>
                </c:lvl>
                <c:lvl>
                  <c:pt idx="0">
                    <c:v>Apparel</c:v>
                  </c:pt>
                  <c:pt idx="1">
                    <c:v>Groceries</c:v>
                  </c:pt>
                  <c:pt idx="2">
                    <c:v>Home &amp; Kitchen</c:v>
                  </c:pt>
                  <c:pt idx="3">
                    <c:v>Personal Care</c:v>
                  </c:pt>
                  <c:pt idx="4">
                    <c:v>Total</c:v>
                  </c:pt>
                </c:lvl>
              </c:multiLvlStrCache>
            </c:multiLvlStrRef>
          </c:cat>
          <c:val>
            <c:numRef>
              <c:f>'Pivot Tables'!$D$20:$D$26</c:f>
              <c:numCache>
                <c:formatCode>General</c:formatCode>
                <c:ptCount val="5"/>
                <c:pt idx="0">
                  <c:v>2380</c:v>
                </c:pt>
                <c:pt idx="1">
                  <c:v>11877</c:v>
                </c:pt>
                <c:pt idx="2">
                  <c:v>1113</c:v>
                </c:pt>
                <c:pt idx="3">
                  <c:v>3025</c:v>
                </c:pt>
                <c:pt idx="4">
                  <c:v>18395</c:v>
                </c:pt>
              </c:numCache>
            </c:numRef>
          </c:val>
        </c:ser>
        <c:ser>
          <c:idx val="1"/>
          <c:order val="1"/>
          <c:tx>
            <c:strRef>
              <c:f>'Pivot Tables'!$E$19</c:f>
              <c:strCache>
                <c:ptCount val="1"/>
                <c:pt idx="0">
                  <c:v>Count of Revenue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Tables'!$C$20:$C$26</c:f>
              <c:multiLvlStrCache>
                <c:ptCount val="5"/>
                <c:lvl>
                  <c:pt idx="4">
                    <c:v>(blank)</c:v>
                  </c:pt>
                </c:lvl>
                <c:lvl>
                  <c:pt idx="0">
                    <c:v>Apparel</c:v>
                  </c:pt>
                  <c:pt idx="1">
                    <c:v>Groceries</c:v>
                  </c:pt>
                  <c:pt idx="2">
                    <c:v>Home &amp; Kitchen</c:v>
                  </c:pt>
                  <c:pt idx="3">
                    <c:v>Personal Care</c:v>
                  </c:pt>
                  <c:pt idx="4">
                    <c:v>Total</c:v>
                  </c:pt>
                </c:lvl>
              </c:multiLvlStrCache>
            </c:multiLvlStrRef>
          </c:cat>
          <c:val>
            <c:numRef>
              <c:f>'Pivot Tables'!$E$20:$E$26</c:f>
              <c:numCache>
                <c:formatCode>General</c:formatCode>
                <c:ptCount val="5"/>
                <c:pt idx="0">
                  <c:v>24</c:v>
                </c:pt>
                <c:pt idx="1">
                  <c:v>24</c:v>
                </c:pt>
                <c:pt idx="2">
                  <c:v>24</c:v>
                </c:pt>
                <c:pt idx="3">
                  <c:v>24</c:v>
                </c:pt>
              </c:numCache>
            </c:numRef>
          </c:val>
        </c:ser>
        <c:dLbls>
          <c:showLegendKey val="0"/>
          <c:showVal val="1"/>
          <c:showCatName val="0"/>
          <c:showSerName val="0"/>
          <c:showPercent val="0"/>
          <c:showBubbleSize val="0"/>
        </c:dLbls>
        <c:gapWidth val="150"/>
        <c:shape val="box"/>
        <c:axId val="304134984"/>
        <c:axId val="304134592"/>
        <c:axId val="306623176"/>
      </c:bar3DChart>
      <c:catAx>
        <c:axId val="304134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34592"/>
        <c:crosses val="autoZero"/>
        <c:auto val="1"/>
        <c:lblAlgn val="ctr"/>
        <c:lblOffset val="100"/>
        <c:noMultiLvlLbl val="0"/>
      </c:catAx>
      <c:valAx>
        <c:axId val="304134592"/>
        <c:scaling>
          <c:orientation val="minMax"/>
        </c:scaling>
        <c:delete val="1"/>
        <c:axPos val="l"/>
        <c:numFmt formatCode="General" sourceLinked="1"/>
        <c:majorTickMark val="out"/>
        <c:minorTickMark val="none"/>
        <c:tickLblPos val="nextTo"/>
        <c:crossAx val="304134984"/>
        <c:crosses val="autoZero"/>
        <c:crossBetween val="between"/>
      </c:valAx>
      <c:serAx>
        <c:axId val="306623176"/>
        <c:scaling>
          <c:orientation val="minMax"/>
        </c:scaling>
        <c:delete val="1"/>
        <c:axPos val="b"/>
        <c:majorTickMark val="out"/>
        <c:minorTickMark val="none"/>
        <c:tickLblPos val="nextTo"/>
        <c:crossAx val="304134592"/>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'Source Data'!$I$5</c:f>
              <c:strCache>
                <c:ptCount val="1"/>
                <c:pt idx="0">
                  <c:v>Qty sold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'Source Data'!$H$6:$H$9</c:f>
              <c:strCache>
                <c:ptCount val="4"/>
                <c:pt idx="0">
                  <c:v>Groceries</c:v>
                </c:pt>
                <c:pt idx="1">
                  <c:v>Apparel</c:v>
                </c:pt>
                <c:pt idx="2">
                  <c:v>Home &amp; Kitchen</c:v>
                </c:pt>
                <c:pt idx="3">
                  <c:v>Personal Care </c:v>
                </c:pt>
              </c:strCache>
            </c:strRef>
          </c:cat>
          <c:val>
            <c:numRef>
              <c:f>'Source Data'!$I$6:$I$9</c:f>
              <c:numCache>
                <c:formatCode>General</c:formatCode>
                <c:ptCount val="4"/>
                <c:pt idx="0">
                  <c:v>11877</c:v>
                </c:pt>
                <c:pt idx="1">
                  <c:v>2380</c:v>
                </c:pt>
                <c:pt idx="2">
                  <c:v>1113</c:v>
                </c:pt>
                <c:pt idx="3">
                  <c:v>3025</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209550</xdr:colOff>
      <xdr:row>0</xdr:row>
      <xdr:rowOff>142875</xdr:rowOff>
    </xdr:from>
    <xdr:to>
      <xdr:col>9</xdr:col>
      <xdr:colOff>195263</xdr:colOff>
      <xdr:row>10</xdr:row>
      <xdr:rowOff>28575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209550</xdr:colOff>
      <xdr:row>0</xdr:row>
      <xdr:rowOff>142874</xdr:rowOff>
    </xdr:from>
    <xdr:to>
      <xdr:col>2</xdr:col>
      <xdr:colOff>552450</xdr:colOff>
      <xdr:row>10</xdr:row>
      <xdr:rowOff>104773</xdr:rowOff>
    </xdr:to>
    <mc:AlternateContent xmlns:mc="http://schemas.openxmlformats.org/markup-compatibility/2006">
      <mc:Choice xmlns:a14="http://schemas.microsoft.com/office/drawing/2010/main" Requires="a14">
        <xdr:graphicFrame macro="">
          <xdr:nvGraphicFramePr>
            <xdr:cNvPr id="3"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09550" y="142874"/>
              <a:ext cx="1685925" cy="186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285750</xdr:colOff>
      <xdr:row>0</xdr:row>
      <xdr:rowOff>95250</xdr:rowOff>
    </xdr:from>
    <xdr:to>
      <xdr:col>20</xdr:col>
      <xdr:colOff>247650</xdr:colOff>
      <xdr:row>11</xdr:row>
      <xdr:rowOff>104775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485775</xdr:colOff>
      <xdr:row>0</xdr:row>
      <xdr:rowOff>180975</xdr:rowOff>
    </xdr:from>
    <xdr:to>
      <xdr:col>12</xdr:col>
      <xdr:colOff>485775</xdr:colOff>
      <xdr:row>10</xdr:row>
      <xdr:rowOff>171450</xdr:rowOff>
    </xdr:to>
    <mc:AlternateContent xmlns:mc="http://schemas.openxmlformats.org/markup-compatibility/2006">
      <mc:Choice xmlns:a14="http://schemas.microsoft.com/office/drawing/2010/main" Requires="a14">
        <xdr:graphicFrame macro="">
          <xdr:nvGraphicFramePr>
            <xdr:cNvPr id="5" name="Revenue (₹)"/>
            <xdr:cNvGraphicFramePr/>
          </xdr:nvGraphicFramePr>
          <xdr:xfrm>
            <a:off x="0" y="0"/>
            <a:ext cx="0" cy="0"/>
          </xdr:xfrm>
          <a:graphic>
            <a:graphicData uri="http://schemas.microsoft.com/office/drawing/2010/slicer">
              <sle:slicer xmlns:sle="http://schemas.microsoft.com/office/drawing/2010/slicer" name="Revenue (₹)"/>
            </a:graphicData>
          </a:graphic>
        </xdr:graphicFrame>
      </mc:Choice>
      <mc:Fallback>
        <xdr:sp macro="" textlink="">
          <xdr:nvSpPr>
            <xdr:cNvPr id="0" name=""/>
            <xdr:cNvSpPr>
              <a:spLocks noTextEdit="1"/>
            </xdr:cNvSpPr>
          </xdr:nvSpPr>
          <xdr:spPr>
            <a:xfrm>
              <a:off x="5857875" y="180975"/>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xdr:colOff>
      <xdr:row>12</xdr:row>
      <xdr:rowOff>9525</xdr:rowOff>
    </xdr:from>
    <xdr:to>
      <xdr:col>12</xdr:col>
      <xdr:colOff>409575</xdr:colOff>
      <xdr:row>26</xdr:row>
      <xdr:rowOff>85725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361950</xdr:colOff>
      <xdr:row>12</xdr:row>
      <xdr:rowOff>57150</xdr:rowOff>
    </xdr:from>
    <xdr:to>
      <xdr:col>3</xdr:col>
      <xdr:colOff>228600</xdr:colOff>
      <xdr:row>25</xdr:row>
      <xdr:rowOff>104775</xdr:rowOff>
    </xdr:to>
    <mc:AlternateContent xmlns:mc="http://schemas.openxmlformats.org/markup-compatibility/2006">
      <mc:Choice xmlns:a14="http://schemas.microsoft.com/office/drawing/2010/main" Requires="a14">
        <xdr:graphicFrame macro="">
          <xdr:nvGraphicFramePr>
            <xdr:cNvPr id="11" name="Quantity Sold"/>
            <xdr:cNvGraphicFramePr/>
          </xdr:nvGraphicFramePr>
          <xdr:xfrm>
            <a:off x="0" y="0"/>
            <a:ext cx="0" cy="0"/>
          </xdr:xfrm>
          <a:graphic>
            <a:graphicData uri="http://schemas.microsoft.com/office/drawing/2010/slicer">
              <sle:slicer xmlns:sle="http://schemas.microsoft.com/office/drawing/2010/slicer" name="Quantity Sold"/>
            </a:graphicData>
          </a:graphic>
        </xdr:graphicFrame>
      </mc:Choice>
      <mc:Fallback>
        <xdr:sp macro="" textlink="">
          <xdr:nvSpPr>
            <xdr:cNvPr id="0" name=""/>
            <xdr:cNvSpPr>
              <a:spLocks noTextEdit="1"/>
            </xdr:cNvSpPr>
          </xdr:nvSpPr>
          <xdr:spPr>
            <a:xfrm>
              <a:off x="361950" y="2343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13</xdr:row>
      <xdr:rowOff>0</xdr:rowOff>
    </xdr:from>
    <xdr:to>
      <xdr:col>21</xdr:col>
      <xdr:colOff>304800</xdr:colOff>
      <xdr:row>27</xdr:row>
      <xdr:rowOff>76200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167.604528935182" createdVersion="5" refreshedVersion="5" minRefreshableVersion="3" recordCount="97">
  <cacheSource type="worksheet">
    <worksheetSource name="Table2"/>
  </cacheSource>
  <cacheFields count="5">
    <cacheField name="Date" numFmtId="15">
      <sharedItems containsNonDate="0" containsDate="1" containsString="0" containsBlank="1" minDate="2026-05-01T00:00:00" maxDate="2026-05-25T00:00:00" count="25">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m/>
      </sharedItems>
    </cacheField>
    <cacheField name="Category" numFmtId="0">
      <sharedItems count="5">
        <s v="Groceries"/>
        <s v="Apparel"/>
        <s v="Home &amp; Kitchen"/>
        <s v="Personal Care"/>
        <s v="Total"/>
      </sharedItems>
    </cacheField>
    <cacheField name="Quantity Sold" numFmtId="0">
      <sharedItems containsSemiMixedTypes="0" containsString="0" containsNumber="1" containsInteger="1" minValue="27" maxValue="18395" count="73">
        <n v="610"/>
        <n v="135"/>
        <n v="60"/>
        <n v="165"/>
        <n v="614"/>
        <n v="166"/>
        <n v="618"/>
        <n v="136"/>
        <n v="167"/>
        <n v="316"/>
        <n v="51"/>
        <n v="27"/>
        <n v="71"/>
        <n v="318"/>
        <n v="320"/>
        <n v="72"/>
        <n v="322"/>
        <n v="52"/>
        <n v="28"/>
        <n v="638"/>
        <n v="141"/>
        <n v="62"/>
        <n v="172"/>
        <n v="642"/>
        <n v="142"/>
        <n v="63"/>
        <n v="173"/>
        <n v="646"/>
        <n v="143"/>
        <n v="174"/>
        <n v="330"/>
        <n v="53"/>
        <n v="74"/>
        <n v="332"/>
        <n v="75"/>
        <n v="334"/>
        <n v="54"/>
        <n v="29"/>
        <n v="336"/>
        <n v="76"/>
        <n v="666"/>
        <n v="147"/>
        <n v="65"/>
        <n v="180"/>
        <n v="671"/>
        <n v="148"/>
        <n v="66"/>
        <n v="181"/>
        <n v="675"/>
        <n v="149"/>
        <n v="182"/>
        <n v="345"/>
        <n v="55"/>
        <n v="30"/>
        <n v="77"/>
        <n v="347"/>
        <n v="56"/>
        <n v="78"/>
        <n v="349"/>
        <n v="351"/>
        <n v="79"/>
        <n v="695"/>
        <n v="153"/>
        <n v="68"/>
        <n v="188"/>
        <n v="699"/>
        <n v="154"/>
        <n v="189"/>
        <n v="703"/>
        <n v="155"/>
        <n v="69"/>
        <n v="190"/>
        <n v="18395"/>
      </sharedItems>
    </cacheField>
    <cacheField name="Avg Price (₹)" numFmtId="0">
      <sharedItems containsBlank="1" count="7">
        <s v="₹371.99"/>
        <s v="₹2,086.67"/>
        <s v="₹3,832.65"/>
        <s v="₹669.59"/>
        <s v="₹2,025.29"/>
        <s v="₹3,719.93"/>
        <m/>
      </sharedItems>
    </cacheField>
    <cacheField name="Revenue (₹)" numFmtId="0">
      <sharedItems containsBlank="1" count="73">
        <s v="₹226,915.43"/>
        <s v="₹281,699.78"/>
        <s v="₹229,959.00"/>
        <s v="₹110,481.77"/>
        <s v="₹228,403.40"/>
        <s v="₹111,151.36"/>
        <s v="₹229,891.37"/>
        <s v="₹283,786.44"/>
        <s v="₹111,820.95"/>
        <s v="₹117,549.63"/>
        <s v="₹103,289.92"/>
        <s v="₹100,437.98"/>
        <s v="₹47,540.64"/>
        <s v="₹118,293.62"/>
        <s v="₹119,037.60"/>
        <s v="₹48,210.23"/>
        <s v="₹119,781.59"/>
        <s v="₹105,315.21"/>
        <s v="₹104,157.90"/>
        <s v="₹237,331.22"/>
        <s v="₹294,219.77"/>
        <s v="₹237,624.30"/>
        <s v="₹115,168.88"/>
        <s v="₹238,819.19"/>
        <s v="₹296,306.43"/>
        <s v="₹241,456.95"/>
        <s v="₹115,838.46"/>
        <s v="₹240,307.16"/>
        <s v="₹298,393.10"/>
        <s v="₹116,508.05"/>
        <s v="₹122,757.53"/>
        <s v="₹107,340.50"/>
        <s v="₹49,549.40"/>
        <s v="₹123,501.51"/>
        <s v="₹50,218.99"/>
        <s v="₹124,245.50"/>
        <s v="₹109,365.80"/>
        <s v="₹107,877.83"/>
        <s v="₹124,989.48"/>
        <s v="₹50,888.57"/>
        <s v="₹247,747.01"/>
        <s v="₹306,739.76"/>
        <s v="₹249,122.25"/>
        <s v="₹120,525.57"/>
        <s v="₹249,606.97"/>
        <s v="₹308,826.42"/>
        <s v="₹252,954.90"/>
        <s v="₹121,195.16"/>
        <s v="₹251,094.94"/>
        <s v="₹310,913.09"/>
        <s v="₹121,864.74"/>
        <s v="₹128,337.41"/>
        <s v="₹111,391.09"/>
        <s v="₹111,597.75"/>
        <s v="₹51,558.16"/>
        <s v="₹129,081.40"/>
        <s v="₹113,416.38"/>
        <s v="₹52,227.75"/>
        <s v="₹129,825.38"/>
        <s v="₹130,569.37"/>
        <s v="₹52,897.33"/>
        <s v="₹258,534.79"/>
        <s v="₹319,259.75"/>
        <s v="₹260,620.20"/>
        <s v="₹125,882.26"/>
        <s v="₹260,022.76"/>
        <s v="₹321,346.41"/>
        <s v="₹126,551.85"/>
        <s v="₹261,510.73"/>
        <s v="₹323,433.08"/>
        <s v="₹264,452.85"/>
        <s v="₹127,221.44"/>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167.605897337962" createdVersion="5" refreshedVersion="5" minRefreshableVersion="3" recordCount="97">
  <cacheSource type="worksheet">
    <worksheetSource name="Table2"/>
  </cacheSource>
  <cacheFields count="5">
    <cacheField name="Date" numFmtId="15">
      <sharedItems containsNonDate="0" containsDate="1" containsString="0" containsBlank="1" minDate="2026-05-01T00:00:00" maxDate="2026-05-25T00:00:00" count="25">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m/>
      </sharedItems>
    </cacheField>
    <cacheField name="Category" numFmtId="0">
      <sharedItems count="5">
        <s v="Groceries"/>
        <s v="Apparel"/>
        <s v="Home &amp; Kitchen"/>
        <s v="Personal Care"/>
        <s v="Total"/>
      </sharedItems>
    </cacheField>
    <cacheField name="Quantity Sold" numFmtId="0">
      <sharedItems containsSemiMixedTypes="0" containsString="0" containsNumber="1" containsInteger="1" minValue="27" maxValue="18395"/>
    </cacheField>
    <cacheField name="Avg Price (₹)" numFmtId="0">
      <sharedItems containsBlank="1" count="7">
        <s v="₹371.99"/>
        <s v="₹2,086.67"/>
        <s v="₹3,832.65"/>
        <s v="₹669.59"/>
        <s v="₹2,025.29"/>
        <s v="₹3,719.93"/>
        <m/>
      </sharedItems>
    </cacheField>
    <cacheField name="Revenue (₹)" numFmtId="0">
      <sharedItems containsBlank="1" count="73">
        <s v="₹226,915.43"/>
        <s v="₹281,699.78"/>
        <s v="₹229,959.00"/>
        <s v="₹110,481.77"/>
        <s v="₹228,403.40"/>
        <s v="₹111,151.36"/>
        <s v="₹229,891.37"/>
        <s v="₹283,786.44"/>
        <s v="₹111,820.95"/>
        <s v="₹117,549.63"/>
        <s v="₹103,289.92"/>
        <s v="₹100,437.98"/>
        <s v="₹47,540.64"/>
        <s v="₹118,293.62"/>
        <s v="₹119,037.60"/>
        <s v="₹48,210.23"/>
        <s v="₹119,781.59"/>
        <s v="₹105,315.21"/>
        <s v="₹104,157.90"/>
        <s v="₹237,331.22"/>
        <s v="₹294,219.77"/>
        <s v="₹237,624.30"/>
        <s v="₹115,168.88"/>
        <s v="₹238,819.19"/>
        <s v="₹296,306.43"/>
        <s v="₹241,456.95"/>
        <s v="₹115,838.46"/>
        <s v="₹240,307.16"/>
        <s v="₹298,393.10"/>
        <s v="₹116,508.05"/>
        <s v="₹122,757.53"/>
        <s v="₹107,340.50"/>
        <s v="₹49,549.40"/>
        <s v="₹123,501.51"/>
        <s v="₹50,218.99"/>
        <s v="₹124,245.50"/>
        <s v="₹109,365.80"/>
        <s v="₹107,877.83"/>
        <s v="₹124,989.48"/>
        <s v="₹50,888.57"/>
        <s v="₹247,747.01"/>
        <s v="₹306,739.76"/>
        <s v="₹249,122.25"/>
        <s v="₹120,525.57"/>
        <s v="₹249,606.97"/>
        <s v="₹308,826.42"/>
        <s v="₹252,954.90"/>
        <s v="₹121,195.16"/>
        <s v="₹251,094.94"/>
        <s v="₹310,913.09"/>
        <s v="₹121,864.74"/>
        <s v="₹128,337.41"/>
        <s v="₹111,391.09"/>
        <s v="₹111,597.75"/>
        <s v="₹51,558.16"/>
        <s v="₹129,081.40"/>
        <s v="₹113,416.38"/>
        <s v="₹52,227.75"/>
        <s v="₹129,825.38"/>
        <s v="₹130,569.37"/>
        <s v="₹52,897.33"/>
        <s v="₹258,534.79"/>
        <s v="₹319,259.75"/>
        <s v="₹260,620.20"/>
        <s v="₹125,882.26"/>
        <s v="₹260,022.76"/>
        <s v="₹321,346.41"/>
        <s v="₹126,551.85"/>
        <s v="₹261,510.73"/>
        <s v="₹323,433.08"/>
        <s v="₹264,452.85"/>
        <s v="₹127,221.44"/>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7">
  <r>
    <x v="0"/>
    <x v="0"/>
    <x v="0"/>
    <x v="0"/>
    <x v="0"/>
  </r>
  <r>
    <x v="0"/>
    <x v="1"/>
    <x v="1"/>
    <x v="1"/>
    <x v="1"/>
  </r>
  <r>
    <x v="0"/>
    <x v="2"/>
    <x v="2"/>
    <x v="2"/>
    <x v="2"/>
  </r>
  <r>
    <x v="0"/>
    <x v="3"/>
    <x v="3"/>
    <x v="3"/>
    <x v="3"/>
  </r>
  <r>
    <x v="1"/>
    <x v="0"/>
    <x v="4"/>
    <x v="0"/>
    <x v="4"/>
  </r>
  <r>
    <x v="1"/>
    <x v="1"/>
    <x v="1"/>
    <x v="1"/>
    <x v="1"/>
  </r>
  <r>
    <x v="1"/>
    <x v="2"/>
    <x v="2"/>
    <x v="2"/>
    <x v="2"/>
  </r>
  <r>
    <x v="1"/>
    <x v="3"/>
    <x v="5"/>
    <x v="3"/>
    <x v="5"/>
  </r>
  <r>
    <x v="2"/>
    <x v="0"/>
    <x v="6"/>
    <x v="0"/>
    <x v="6"/>
  </r>
  <r>
    <x v="2"/>
    <x v="1"/>
    <x v="7"/>
    <x v="1"/>
    <x v="7"/>
  </r>
  <r>
    <x v="2"/>
    <x v="2"/>
    <x v="2"/>
    <x v="2"/>
    <x v="2"/>
  </r>
  <r>
    <x v="2"/>
    <x v="3"/>
    <x v="8"/>
    <x v="3"/>
    <x v="8"/>
  </r>
  <r>
    <x v="3"/>
    <x v="0"/>
    <x v="9"/>
    <x v="0"/>
    <x v="9"/>
  </r>
  <r>
    <x v="3"/>
    <x v="1"/>
    <x v="10"/>
    <x v="4"/>
    <x v="10"/>
  </r>
  <r>
    <x v="3"/>
    <x v="2"/>
    <x v="11"/>
    <x v="5"/>
    <x v="11"/>
  </r>
  <r>
    <x v="3"/>
    <x v="3"/>
    <x v="12"/>
    <x v="3"/>
    <x v="12"/>
  </r>
  <r>
    <x v="4"/>
    <x v="0"/>
    <x v="13"/>
    <x v="0"/>
    <x v="13"/>
  </r>
  <r>
    <x v="4"/>
    <x v="1"/>
    <x v="10"/>
    <x v="4"/>
    <x v="10"/>
  </r>
  <r>
    <x v="4"/>
    <x v="2"/>
    <x v="11"/>
    <x v="5"/>
    <x v="11"/>
  </r>
  <r>
    <x v="4"/>
    <x v="3"/>
    <x v="12"/>
    <x v="3"/>
    <x v="12"/>
  </r>
  <r>
    <x v="5"/>
    <x v="0"/>
    <x v="14"/>
    <x v="0"/>
    <x v="14"/>
  </r>
  <r>
    <x v="5"/>
    <x v="1"/>
    <x v="10"/>
    <x v="4"/>
    <x v="10"/>
  </r>
  <r>
    <x v="5"/>
    <x v="2"/>
    <x v="11"/>
    <x v="5"/>
    <x v="11"/>
  </r>
  <r>
    <x v="5"/>
    <x v="3"/>
    <x v="15"/>
    <x v="3"/>
    <x v="15"/>
  </r>
  <r>
    <x v="6"/>
    <x v="0"/>
    <x v="16"/>
    <x v="0"/>
    <x v="16"/>
  </r>
  <r>
    <x v="6"/>
    <x v="1"/>
    <x v="17"/>
    <x v="4"/>
    <x v="17"/>
  </r>
  <r>
    <x v="6"/>
    <x v="2"/>
    <x v="18"/>
    <x v="5"/>
    <x v="18"/>
  </r>
  <r>
    <x v="6"/>
    <x v="3"/>
    <x v="15"/>
    <x v="3"/>
    <x v="15"/>
  </r>
  <r>
    <x v="7"/>
    <x v="0"/>
    <x v="19"/>
    <x v="0"/>
    <x v="19"/>
  </r>
  <r>
    <x v="7"/>
    <x v="1"/>
    <x v="20"/>
    <x v="1"/>
    <x v="20"/>
  </r>
  <r>
    <x v="7"/>
    <x v="2"/>
    <x v="21"/>
    <x v="2"/>
    <x v="21"/>
  </r>
  <r>
    <x v="7"/>
    <x v="3"/>
    <x v="22"/>
    <x v="3"/>
    <x v="22"/>
  </r>
  <r>
    <x v="8"/>
    <x v="0"/>
    <x v="23"/>
    <x v="0"/>
    <x v="23"/>
  </r>
  <r>
    <x v="8"/>
    <x v="1"/>
    <x v="24"/>
    <x v="1"/>
    <x v="24"/>
  </r>
  <r>
    <x v="8"/>
    <x v="2"/>
    <x v="25"/>
    <x v="2"/>
    <x v="25"/>
  </r>
  <r>
    <x v="8"/>
    <x v="3"/>
    <x v="26"/>
    <x v="3"/>
    <x v="26"/>
  </r>
  <r>
    <x v="9"/>
    <x v="0"/>
    <x v="27"/>
    <x v="0"/>
    <x v="27"/>
  </r>
  <r>
    <x v="9"/>
    <x v="1"/>
    <x v="28"/>
    <x v="1"/>
    <x v="28"/>
  </r>
  <r>
    <x v="9"/>
    <x v="2"/>
    <x v="25"/>
    <x v="2"/>
    <x v="25"/>
  </r>
  <r>
    <x v="9"/>
    <x v="3"/>
    <x v="29"/>
    <x v="3"/>
    <x v="29"/>
  </r>
  <r>
    <x v="10"/>
    <x v="0"/>
    <x v="30"/>
    <x v="0"/>
    <x v="30"/>
  </r>
  <r>
    <x v="10"/>
    <x v="1"/>
    <x v="31"/>
    <x v="4"/>
    <x v="31"/>
  </r>
  <r>
    <x v="10"/>
    <x v="2"/>
    <x v="18"/>
    <x v="5"/>
    <x v="18"/>
  </r>
  <r>
    <x v="10"/>
    <x v="3"/>
    <x v="32"/>
    <x v="3"/>
    <x v="32"/>
  </r>
  <r>
    <x v="11"/>
    <x v="0"/>
    <x v="33"/>
    <x v="0"/>
    <x v="33"/>
  </r>
  <r>
    <x v="11"/>
    <x v="1"/>
    <x v="31"/>
    <x v="4"/>
    <x v="31"/>
  </r>
  <r>
    <x v="11"/>
    <x v="2"/>
    <x v="18"/>
    <x v="5"/>
    <x v="18"/>
  </r>
  <r>
    <x v="11"/>
    <x v="3"/>
    <x v="34"/>
    <x v="3"/>
    <x v="34"/>
  </r>
  <r>
    <x v="12"/>
    <x v="0"/>
    <x v="35"/>
    <x v="0"/>
    <x v="35"/>
  </r>
  <r>
    <x v="12"/>
    <x v="1"/>
    <x v="36"/>
    <x v="4"/>
    <x v="36"/>
  </r>
  <r>
    <x v="12"/>
    <x v="2"/>
    <x v="37"/>
    <x v="5"/>
    <x v="37"/>
  </r>
  <r>
    <x v="12"/>
    <x v="3"/>
    <x v="34"/>
    <x v="3"/>
    <x v="34"/>
  </r>
  <r>
    <x v="13"/>
    <x v="0"/>
    <x v="38"/>
    <x v="0"/>
    <x v="38"/>
  </r>
  <r>
    <x v="13"/>
    <x v="1"/>
    <x v="36"/>
    <x v="4"/>
    <x v="36"/>
  </r>
  <r>
    <x v="13"/>
    <x v="2"/>
    <x v="37"/>
    <x v="5"/>
    <x v="37"/>
  </r>
  <r>
    <x v="13"/>
    <x v="3"/>
    <x v="39"/>
    <x v="3"/>
    <x v="39"/>
  </r>
  <r>
    <x v="14"/>
    <x v="0"/>
    <x v="40"/>
    <x v="0"/>
    <x v="40"/>
  </r>
  <r>
    <x v="14"/>
    <x v="1"/>
    <x v="41"/>
    <x v="1"/>
    <x v="41"/>
  </r>
  <r>
    <x v="14"/>
    <x v="2"/>
    <x v="42"/>
    <x v="2"/>
    <x v="42"/>
  </r>
  <r>
    <x v="14"/>
    <x v="3"/>
    <x v="43"/>
    <x v="3"/>
    <x v="43"/>
  </r>
  <r>
    <x v="15"/>
    <x v="0"/>
    <x v="44"/>
    <x v="0"/>
    <x v="44"/>
  </r>
  <r>
    <x v="15"/>
    <x v="1"/>
    <x v="45"/>
    <x v="1"/>
    <x v="45"/>
  </r>
  <r>
    <x v="15"/>
    <x v="2"/>
    <x v="46"/>
    <x v="2"/>
    <x v="46"/>
  </r>
  <r>
    <x v="15"/>
    <x v="3"/>
    <x v="47"/>
    <x v="3"/>
    <x v="47"/>
  </r>
  <r>
    <x v="16"/>
    <x v="0"/>
    <x v="48"/>
    <x v="0"/>
    <x v="48"/>
  </r>
  <r>
    <x v="16"/>
    <x v="1"/>
    <x v="49"/>
    <x v="1"/>
    <x v="49"/>
  </r>
  <r>
    <x v="16"/>
    <x v="2"/>
    <x v="46"/>
    <x v="2"/>
    <x v="46"/>
  </r>
  <r>
    <x v="16"/>
    <x v="3"/>
    <x v="50"/>
    <x v="3"/>
    <x v="50"/>
  </r>
  <r>
    <x v="17"/>
    <x v="0"/>
    <x v="51"/>
    <x v="0"/>
    <x v="51"/>
  </r>
  <r>
    <x v="17"/>
    <x v="1"/>
    <x v="52"/>
    <x v="4"/>
    <x v="52"/>
  </r>
  <r>
    <x v="17"/>
    <x v="2"/>
    <x v="53"/>
    <x v="5"/>
    <x v="53"/>
  </r>
  <r>
    <x v="17"/>
    <x v="3"/>
    <x v="54"/>
    <x v="3"/>
    <x v="54"/>
  </r>
  <r>
    <x v="18"/>
    <x v="0"/>
    <x v="55"/>
    <x v="0"/>
    <x v="55"/>
  </r>
  <r>
    <x v="18"/>
    <x v="1"/>
    <x v="56"/>
    <x v="4"/>
    <x v="56"/>
  </r>
  <r>
    <x v="18"/>
    <x v="2"/>
    <x v="53"/>
    <x v="5"/>
    <x v="53"/>
  </r>
  <r>
    <x v="18"/>
    <x v="3"/>
    <x v="57"/>
    <x v="3"/>
    <x v="57"/>
  </r>
  <r>
    <x v="19"/>
    <x v="0"/>
    <x v="58"/>
    <x v="0"/>
    <x v="58"/>
  </r>
  <r>
    <x v="19"/>
    <x v="1"/>
    <x v="56"/>
    <x v="4"/>
    <x v="56"/>
  </r>
  <r>
    <x v="19"/>
    <x v="2"/>
    <x v="53"/>
    <x v="5"/>
    <x v="53"/>
  </r>
  <r>
    <x v="19"/>
    <x v="3"/>
    <x v="57"/>
    <x v="3"/>
    <x v="57"/>
  </r>
  <r>
    <x v="20"/>
    <x v="0"/>
    <x v="59"/>
    <x v="0"/>
    <x v="59"/>
  </r>
  <r>
    <x v="20"/>
    <x v="1"/>
    <x v="56"/>
    <x v="4"/>
    <x v="56"/>
  </r>
  <r>
    <x v="20"/>
    <x v="2"/>
    <x v="53"/>
    <x v="5"/>
    <x v="53"/>
  </r>
  <r>
    <x v="20"/>
    <x v="3"/>
    <x v="60"/>
    <x v="3"/>
    <x v="60"/>
  </r>
  <r>
    <x v="21"/>
    <x v="0"/>
    <x v="61"/>
    <x v="0"/>
    <x v="61"/>
  </r>
  <r>
    <x v="21"/>
    <x v="1"/>
    <x v="62"/>
    <x v="1"/>
    <x v="62"/>
  </r>
  <r>
    <x v="21"/>
    <x v="2"/>
    <x v="63"/>
    <x v="2"/>
    <x v="63"/>
  </r>
  <r>
    <x v="21"/>
    <x v="3"/>
    <x v="64"/>
    <x v="3"/>
    <x v="64"/>
  </r>
  <r>
    <x v="22"/>
    <x v="0"/>
    <x v="65"/>
    <x v="0"/>
    <x v="65"/>
  </r>
  <r>
    <x v="22"/>
    <x v="1"/>
    <x v="66"/>
    <x v="1"/>
    <x v="66"/>
  </r>
  <r>
    <x v="22"/>
    <x v="2"/>
    <x v="63"/>
    <x v="2"/>
    <x v="63"/>
  </r>
  <r>
    <x v="22"/>
    <x v="3"/>
    <x v="67"/>
    <x v="3"/>
    <x v="67"/>
  </r>
  <r>
    <x v="23"/>
    <x v="0"/>
    <x v="68"/>
    <x v="0"/>
    <x v="68"/>
  </r>
  <r>
    <x v="23"/>
    <x v="1"/>
    <x v="69"/>
    <x v="1"/>
    <x v="69"/>
  </r>
  <r>
    <x v="23"/>
    <x v="2"/>
    <x v="70"/>
    <x v="2"/>
    <x v="70"/>
  </r>
  <r>
    <x v="23"/>
    <x v="3"/>
    <x v="71"/>
    <x v="3"/>
    <x v="71"/>
  </r>
  <r>
    <x v="24"/>
    <x v="4"/>
    <x v="72"/>
    <x v="6"/>
    <x v="72"/>
  </r>
</pivotCacheRecords>
</file>

<file path=xl/pivotCache/pivotCacheRecords2.xml><?xml version="1.0" encoding="utf-8"?>
<pivotCacheRecords xmlns="http://schemas.openxmlformats.org/spreadsheetml/2006/main" xmlns:r="http://schemas.openxmlformats.org/officeDocument/2006/relationships" count="97">
  <r>
    <x v="0"/>
    <x v="0"/>
    <n v="610"/>
    <x v="0"/>
    <x v="0"/>
  </r>
  <r>
    <x v="0"/>
    <x v="1"/>
    <n v="135"/>
    <x v="1"/>
    <x v="1"/>
  </r>
  <r>
    <x v="0"/>
    <x v="2"/>
    <n v="60"/>
    <x v="2"/>
    <x v="2"/>
  </r>
  <r>
    <x v="0"/>
    <x v="3"/>
    <n v="165"/>
    <x v="3"/>
    <x v="3"/>
  </r>
  <r>
    <x v="1"/>
    <x v="0"/>
    <n v="614"/>
    <x v="0"/>
    <x v="4"/>
  </r>
  <r>
    <x v="1"/>
    <x v="1"/>
    <n v="135"/>
    <x v="1"/>
    <x v="1"/>
  </r>
  <r>
    <x v="1"/>
    <x v="2"/>
    <n v="60"/>
    <x v="2"/>
    <x v="2"/>
  </r>
  <r>
    <x v="1"/>
    <x v="3"/>
    <n v="166"/>
    <x v="3"/>
    <x v="5"/>
  </r>
  <r>
    <x v="2"/>
    <x v="0"/>
    <n v="618"/>
    <x v="0"/>
    <x v="6"/>
  </r>
  <r>
    <x v="2"/>
    <x v="1"/>
    <n v="136"/>
    <x v="1"/>
    <x v="7"/>
  </r>
  <r>
    <x v="2"/>
    <x v="2"/>
    <n v="60"/>
    <x v="2"/>
    <x v="2"/>
  </r>
  <r>
    <x v="2"/>
    <x v="3"/>
    <n v="167"/>
    <x v="3"/>
    <x v="8"/>
  </r>
  <r>
    <x v="3"/>
    <x v="0"/>
    <n v="316"/>
    <x v="0"/>
    <x v="9"/>
  </r>
  <r>
    <x v="3"/>
    <x v="1"/>
    <n v="51"/>
    <x v="4"/>
    <x v="10"/>
  </r>
  <r>
    <x v="3"/>
    <x v="2"/>
    <n v="27"/>
    <x v="5"/>
    <x v="11"/>
  </r>
  <r>
    <x v="3"/>
    <x v="3"/>
    <n v="71"/>
    <x v="3"/>
    <x v="12"/>
  </r>
  <r>
    <x v="4"/>
    <x v="0"/>
    <n v="318"/>
    <x v="0"/>
    <x v="13"/>
  </r>
  <r>
    <x v="4"/>
    <x v="1"/>
    <n v="51"/>
    <x v="4"/>
    <x v="10"/>
  </r>
  <r>
    <x v="4"/>
    <x v="2"/>
    <n v="27"/>
    <x v="5"/>
    <x v="11"/>
  </r>
  <r>
    <x v="4"/>
    <x v="3"/>
    <n v="71"/>
    <x v="3"/>
    <x v="12"/>
  </r>
  <r>
    <x v="5"/>
    <x v="0"/>
    <n v="320"/>
    <x v="0"/>
    <x v="14"/>
  </r>
  <r>
    <x v="5"/>
    <x v="1"/>
    <n v="51"/>
    <x v="4"/>
    <x v="10"/>
  </r>
  <r>
    <x v="5"/>
    <x v="2"/>
    <n v="27"/>
    <x v="5"/>
    <x v="11"/>
  </r>
  <r>
    <x v="5"/>
    <x v="3"/>
    <n v="72"/>
    <x v="3"/>
    <x v="15"/>
  </r>
  <r>
    <x v="6"/>
    <x v="0"/>
    <n v="322"/>
    <x v="0"/>
    <x v="16"/>
  </r>
  <r>
    <x v="6"/>
    <x v="1"/>
    <n v="52"/>
    <x v="4"/>
    <x v="17"/>
  </r>
  <r>
    <x v="6"/>
    <x v="2"/>
    <n v="28"/>
    <x v="5"/>
    <x v="18"/>
  </r>
  <r>
    <x v="6"/>
    <x v="3"/>
    <n v="72"/>
    <x v="3"/>
    <x v="15"/>
  </r>
  <r>
    <x v="7"/>
    <x v="0"/>
    <n v="638"/>
    <x v="0"/>
    <x v="19"/>
  </r>
  <r>
    <x v="7"/>
    <x v="1"/>
    <n v="141"/>
    <x v="1"/>
    <x v="20"/>
  </r>
  <r>
    <x v="7"/>
    <x v="2"/>
    <n v="62"/>
    <x v="2"/>
    <x v="21"/>
  </r>
  <r>
    <x v="7"/>
    <x v="3"/>
    <n v="172"/>
    <x v="3"/>
    <x v="22"/>
  </r>
  <r>
    <x v="8"/>
    <x v="0"/>
    <n v="642"/>
    <x v="0"/>
    <x v="23"/>
  </r>
  <r>
    <x v="8"/>
    <x v="1"/>
    <n v="142"/>
    <x v="1"/>
    <x v="24"/>
  </r>
  <r>
    <x v="8"/>
    <x v="2"/>
    <n v="63"/>
    <x v="2"/>
    <x v="25"/>
  </r>
  <r>
    <x v="8"/>
    <x v="3"/>
    <n v="173"/>
    <x v="3"/>
    <x v="26"/>
  </r>
  <r>
    <x v="9"/>
    <x v="0"/>
    <n v="646"/>
    <x v="0"/>
    <x v="27"/>
  </r>
  <r>
    <x v="9"/>
    <x v="1"/>
    <n v="143"/>
    <x v="1"/>
    <x v="28"/>
  </r>
  <r>
    <x v="9"/>
    <x v="2"/>
    <n v="63"/>
    <x v="2"/>
    <x v="25"/>
  </r>
  <r>
    <x v="9"/>
    <x v="3"/>
    <n v="174"/>
    <x v="3"/>
    <x v="29"/>
  </r>
  <r>
    <x v="10"/>
    <x v="0"/>
    <n v="330"/>
    <x v="0"/>
    <x v="30"/>
  </r>
  <r>
    <x v="10"/>
    <x v="1"/>
    <n v="53"/>
    <x v="4"/>
    <x v="31"/>
  </r>
  <r>
    <x v="10"/>
    <x v="2"/>
    <n v="28"/>
    <x v="5"/>
    <x v="18"/>
  </r>
  <r>
    <x v="10"/>
    <x v="3"/>
    <n v="74"/>
    <x v="3"/>
    <x v="32"/>
  </r>
  <r>
    <x v="11"/>
    <x v="0"/>
    <n v="332"/>
    <x v="0"/>
    <x v="33"/>
  </r>
  <r>
    <x v="11"/>
    <x v="1"/>
    <n v="53"/>
    <x v="4"/>
    <x v="31"/>
  </r>
  <r>
    <x v="11"/>
    <x v="2"/>
    <n v="28"/>
    <x v="5"/>
    <x v="18"/>
  </r>
  <r>
    <x v="11"/>
    <x v="3"/>
    <n v="75"/>
    <x v="3"/>
    <x v="34"/>
  </r>
  <r>
    <x v="12"/>
    <x v="0"/>
    <n v="334"/>
    <x v="0"/>
    <x v="35"/>
  </r>
  <r>
    <x v="12"/>
    <x v="1"/>
    <n v="54"/>
    <x v="4"/>
    <x v="36"/>
  </r>
  <r>
    <x v="12"/>
    <x v="2"/>
    <n v="29"/>
    <x v="5"/>
    <x v="37"/>
  </r>
  <r>
    <x v="12"/>
    <x v="3"/>
    <n v="75"/>
    <x v="3"/>
    <x v="34"/>
  </r>
  <r>
    <x v="13"/>
    <x v="0"/>
    <n v="336"/>
    <x v="0"/>
    <x v="38"/>
  </r>
  <r>
    <x v="13"/>
    <x v="1"/>
    <n v="54"/>
    <x v="4"/>
    <x v="36"/>
  </r>
  <r>
    <x v="13"/>
    <x v="2"/>
    <n v="29"/>
    <x v="5"/>
    <x v="37"/>
  </r>
  <r>
    <x v="13"/>
    <x v="3"/>
    <n v="76"/>
    <x v="3"/>
    <x v="39"/>
  </r>
  <r>
    <x v="14"/>
    <x v="0"/>
    <n v="666"/>
    <x v="0"/>
    <x v="40"/>
  </r>
  <r>
    <x v="14"/>
    <x v="1"/>
    <n v="147"/>
    <x v="1"/>
    <x v="41"/>
  </r>
  <r>
    <x v="14"/>
    <x v="2"/>
    <n v="65"/>
    <x v="2"/>
    <x v="42"/>
  </r>
  <r>
    <x v="14"/>
    <x v="3"/>
    <n v="180"/>
    <x v="3"/>
    <x v="43"/>
  </r>
  <r>
    <x v="15"/>
    <x v="0"/>
    <n v="671"/>
    <x v="0"/>
    <x v="44"/>
  </r>
  <r>
    <x v="15"/>
    <x v="1"/>
    <n v="148"/>
    <x v="1"/>
    <x v="45"/>
  </r>
  <r>
    <x v="15"/>
    <x v="2"/>
    <n v="66"/>
    <x v="2"/>
    <x v="46"/>
  </r>
  <r>
    <x v="15"/>
    <x v="3"/>
    <n v="181"/>
    <x v="3"/>
    <x v="47"/>
  </r>
  <r>
    <x v="16"/>
    <x v="0"/>
    <n v="675"/>
    <x v="0"/>
    <x v="48"/>
  </r>
  <r>
    <x v="16"/>
    <x v="1"/>
    <n v="149"/>
    <x v="1"/>
    <x v="49"/>
  </r>
  <r>
    <x v="16"/>
    <x v="2"/>
    <n v="66"/>
    <x v="2"/>
    <x v="46"/>
  </r>
  <r>
    <x v="16"/>
    <x v="3"/>
    <n v="182"/>
    <x v="3"/>
    <x v="50"/>
  </r>
  <r>
    <x v="17"/>
    <x v="0"/>
    <n v="345"/>
    <x v="0"/>
    <x v="51"/>
  </r>
  <r>
    <x v="17"/>
    <x v="1"/>
    <n v="55"/>
    <x v="4"/>
    <x v="52"/>
  </r>
  <r>
    <x v="17"/>
    <x v="2"/>
    <n v="30"/>
    <x v="5"/>
    <x v="53"/>
  </r>
  <r>
    <x v="17"/>
    <x v="3"/>
    <n v="77"/>
    <x v="3"/>
    <x v="54"/>
  </r>
  <r>
    <x v="18"/>
    <x v="0"/>
    <n v="347"/>
    <x v="0"/>
    <x v="55"/>
  </r>
  <r>
    <x v="18"/>
    <x v="1"/>
    <n v="56"/>
    <x v="4"/>
    <x v="56"/>
  </r>
  <r>
    <x v="18"/>
    <x v="2"/>
    <n v="30"/>
    <x v="5"/>
    <x v="53"/>
  </r>
  <r>
    <x v="18"/>
    <x v="3"/>
    <n v="78"/>
    <x v="3"/>
    <x v="57"/>
  </r>
  <r>
    <x v="19"/>
    <x v="0"/>
    <n v="349"/>
    <x v="0"/>
    <x v="58"/>
  </r>
  <r>
    <x v="19"/>
    <x v="1"/>
    <n v="56"/>
    <x v="4"/>
    <x v="56"/>
  </r>
  <r>
    <x v="19"/>
    <x v="2"/>
    <n v="30"/>
    <x v="5"/>
    <x v="53"/>
  </r>
  <r>
    <x v="19"/>
    <x v="3"/>
    <n v="78"/>
    <x v="3"/>
    <x v="57"/>
  </r>
  <r>
    <x v="20"/>
    <x v="0"/>
    <n v="351"/>
    <x v="0"/>
    <x v="59"/>
  </r>
  <r>
    <x v="20"/>
    <x v="1"/>
    <n v="56"/>
    <x v="4"/>
    <x v="56"/>
  </r>
  <r>
    <x v="20"/>
    <x v="2"/>
    <n v="30"/>
    <x v="5"/>
    <x v="53"/>
  </r>
  <r>
    <x v="20"/>
    <x v="3"/>
    <n v="79"/>
    <x v="3"/>
    <x v="60"/>
  </r>
  <r>
    <x v="21"/>
    <x v="0"/>
    <n v="695"/>
    <x v="0"/>
    <x v="61"/>
  </r>
  <r>
    <x v="21"/>
    <x v="1"/>
    <n v="153"/>
    <x v="1"/>
    <x v="62"/>
  </r>
  <r>
    <x v="21"/>
    <x v="2"/>
    <n v="68"/>
    <x v="2"/>
    <x v="63"/>
  </r>
  <r>
    <x v="21"/>
    <x v="3"/>
    <n v="188"/>
    <x v="3"/>
    <x v="64"/>
  </r>
  <r>
    <x v="22"/>
    <x v="0"/>
    <n v="699"/>
    <x v="0"/>
    <x v="65"/>
  </r>
  <r>
    <x v="22"/>
    <x v="1"/>
    <n v="154"/>
    <x v="1"/>
    <x v="66"/>
  </r>
  <r>
    <x v="22"/>
    <x v="2"/>
    <n v="68"/>
    <x v="2"/>
    <x v="63"/>
  </r>
  <r>
    <x v="22"/>
    <x v="3"/>
    <n v="189"/>
    <x v="3"/>
    <x v="67"/>
  </r>
  <r>
    <x v="23"/>
    <x v="0"/>
    <n v="703"/>
    <x v="0"/>
    <x v="68"/>
  </r>
  <r>
    <x v="23"/>
    <x v="1"/>
    <n v="155"/>
    <x v="1"/>
    <x v="69"/>
  </r>
  <r>
    <x v="23"/>
    <x v="2"/>
    <n v="69"/>
    <x v="2"/>
    <x v="70"/>
  </r>
  <r>
    <x v="23"/>
    <x v="3"/>
    <n v="190"/>
    <x v="3"/>
    <x v="71"/>
  </r>
  <r>
    <x v="24"/>
    <x v="4"/>
    <n v="18395"/>
    <x v="6"/>
    <x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ategory" colHeaderCaption="Average Price ">
  <location ref="C19:E26" firstHeaderRow="0" firstDataRow="1" firstDataCol="1" rowPageCount="1" colPageCount="1"/>
  <pivotFields count="5">
    <pivotField axis="axisPage"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1"/>
        <item sd="0" x="0"/>
        <item sd="0" x="2"/>
        <item sd="0" x="3"/>
        <item x="4"/>
        <item t="default"/>
      </items>
    </pivotField>
    <pivotField dataField="1" showAll="0">
      <items count="74">
        <item x="11"/>
        <item x="18"/>
        <item x="37"/>
        <item x="53"/>
        <item x="10"/>
        <item x="17"/>
        <item x="31"/>
        <item x="36"/>
        <item x="52"/>
        <item x="56"/>
        <item x="2"/>
        <item x="21"/>
        <item x="25"/>
        <item x="42"/>
        <item x="46"/>
        <item x="63"/>
        <item x="70"/>
        <item x="12"/>
        <item x="15"/>
        <item x="32"/>
        <item x="34"/>
        <item x="39"/>
        <item x="54"/>
        <item x="57"/>
        <item x="60"/>
        <item x="1"/>
        <item x="7"/>
        <item x="20"/>
        <item x="24"/>
        <item x="28"/>
        <item x="41"/>
        <item x="45"/>
        <item x="49"/>
        <item x="62"/>
        <item x="66"/>
        <item x="69"/>
        <item x="3"/>
        <item x="5"/>
        <item x="8"/>
        <item x="22"/>
        <item x="26"/>
        <item x="29"/>
        <item x="43"/>
        <item x="47"/>
        <item x="50"/>
        <item x="64"/>
        <item x="67"/>
        <item x="71"/>
        <item x="9"/>
        <item x="13"/>
        <item x="14"/>
        <item x="16"/>
        <item x="30"/>
        <item x="33"/>
        <item x="35"/>
        <item x="38"/>
        <item x="51"/>
        <item x="55"/>
        <item x="58"/>
        <item x="59"/>
        <item x="0"/>
        <item x="4"/>
        <item x="6"/>
        <item x="19"/>
        <item x="23"/>
        <item x="27"/>
        <item x="40"/>
        <item x="44"/>
        <item x="48"/>
        <item x="61"/>
        <item x="65"/>
        <item x="68"/>
        <item x="72"/>
        <item t="default"/>
      </items>
    </pivotField>
    <pivotField axis="axisRow" showAll="0">
      <items count="8">
        <item x="4"/>
        <item x="1"/>
        <item x="5"/>
        <item x="2"/>
        <item x="0"/>
        <item x="3"/>
        <item x="6"/>
        <item t="default"/>
      </items>
    </pivotField>
    <pivotField dataField="1" showAll="0">
      <items count="74">
        <item x="11"/>
        <item x="10"/>
        <item x="18"/>
        <item x="17"/>
        <item x="31"/>
        <item x="37"/>
        <item x="36"/>
        <item x="3"/>
        <item x="5"/>
        <item x="52"/>
        <item x="53"/>
        <item x="8"/>
        <item x="56"/>
        <item x="22"/>
        <item x="26"/>
        <item x="29"/>
        <item x="9"/>
        <item x="13"/>
        <item x="14"/>
        <item x="16"/>
        <item x="43"/>
        <item x="47"/>
        <item x="50"/>
        <item x="30"/>
        <item x="33"/>
        <item x="35"/>
        <item x="38"/>
        <item x="64"/>
        <item x="67"/>
        <item x="71"/>
        <item x="51"/>
        <item x="55"/>
        <item x="58"/>
        <item x="59"/>
        <item x="0"/>
        <item x="4"/>
        <item x="6"/>
        <item x="2"/>
        <item x="19"/>
        <item x="21"/>
        <item x="23"/>
        <item x="27"/>
        <item x="25"/>
        <item x="40"/>
        <item x="42"/>
        <item x="44"/>
        <item x="48"/>
        <item x="46"/>
        <item x="61"/>
        <item x="65"/>
        <item x="63"/>
        <item x="68"/>
        <item x="70"/>
        <item x="1"/>
        <item x="7"/>
        <item x="20"/>
        <item x="24"/>
        <item x="28"/>
        <item x="41"/>
        <item x="45"/>
        <item x="49"/>
        <item x="62"/>
        <item x="66"/>
        <item x="69"/>
        <item x="12"/>
        <item x="15"/>
        <item x="32"/>
        <item x="34"/>
        <item x="39"/>
        <item x="54"/>
        <item x="57"/>
        <item x="60"/>
        <item x="72"/>
        <item t="default"/>
      </items>
    </pivotField>
  </pivotFields>
  <rowFields count="2">
    <field x="1"/>
    <field x="3"/>
  </rowFields>
  <rowItems count="7">
    <i>
      <x/>
    </i>
    <i>
      <x v="1"/>
    </i>
    <i>
      <x v="2"/>
    </i>
    <i>
      <x v="3"/>
    </i>
    <i>
      <x v="4"/>
    </i>
    <i r="1">
      <x v="6"/>
    </i>
    <i t="grand">
      <x/>
    </i>
  </rowItems>
  <colFields count="1">
    <field x="-2"/>
  </colFields>
  <colItems count="2">
    <i>
      <x/>
    </i>
    <i i="1">
      <x v="1"/>
    </i>
  </colItems>
  <pageFields count="1">
    <pageField fld="0" hier="-1"/>
  </pageFields>
  <dataFields count="2">
    <dataField name="Sum of Quantity Sold" fld="2" baseField="0" baseItem="0"/>
    <dataField name="Count of Revenue (₹)" fld="4" subtotal="count" baseField="0" baseItem="0"/>
  </dataFields>
  <formats count="2">
    <format dxfId="0">
      <pivotArea field="4" type="button" dataOnly="0" labelOnly="1" outline="0"/>
    </format>
    <format dxfId="1">
      <pivotArea field="3" type="button" dataOnly="0" labelOnly="1" outline="0" axis="axisRow" fieldPosition="1"/>
    </format>
  </formats>
  <chartFormats count="2">
    <chartFormat chart="2" format="1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B6:C12" firstHeaderRow="1" firstDataRow="1" firstDataCol="1" rowPageCount="1" colPageCount="1"/>
  <pivotFields count="5">
    <pivotField axis="axisPage"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1"/>
        <item sd="0" x="0"/>
        <item sd="0" x="2"/>
        <item sd="0" x="3"/>
        <item sd="0" x="4"/>
        <item t="default"/>
      </items>
    </pivotField>
    <pivotField dataField="1" showAll="0">
      <items count="74">
        <item x="11"/>
        <item x="18"/>
        <item x="37"/>
        <item x="53"/>
        <item x="10"/>
        <item x="17"/>
        <item x="31"/>
        <item x="36"/>
        <item x="52"/>
        <item x="56"/>
        <item x="2"/>
        <item x="21"/>
        <item x="25"/>
        <item x="42"/>
        <item x="46"/>
        <item x="63"/>
        <item x="70"/>
        <item x="12"/>
        <item x="15"/>
        <item x="32"/>
        <item x="34"/>
        <item x="39"/>
        <item x="54"/>
        <item x="57"/>
        <item x="60"/>
        <item x="1"/>
        <item x="7"/>
        <item x="20"/>
        <item x="24"/>
        <item x="28"/>
        <item x="41"/>
        <item x="45"/>
        <item x="49"/>
        <item x="62"/>
        <item x="66"/>
        <item x="69"/>
        <item x="3"/>
        <item x="5"/>
        <item x="8"/>
        <item x="22"/>
        <item x="26"/>
        <item x="29"/>
        <item x="43"/>
        <item x="47"/>
        <item x="50"/>
        <item x="64"/>
        <item x="67"/>
        <item x="71"/>
        <item x="9"/>
        <item x="13"/>
        <item x="14"/>
        <item x="16"/>
        <item x="30"/>
        <item x="33"/>
        <item x="35"/>
        <item x="38"/>
        <item x="51"/>
        <item x="55"/>
        <item x="58"/>
        <item x="59"/>
        <item x="0"/>
        <item x="4"/>
        <item x="6"/>
        <item x="19"/>
        <item x="23"/>
        <item x="27"/>
        <item x="40"/>
        <item x="44"/>
        <item x="48"/>
        <item x="61"/>
        <item x="65"/>
        <item x="68"/>
        <item x="72"/>
        <item t="default"/>
      </items>
    </pivotField>
    <pivotField showAll="0">
      <items count="8">
        <item x="4"/>
        <item x="1"/>
        <item x="5"/>
        <item x="2"/>
        <item x="0"/>
        <item x="3"/>
        <item x="6"/>
        <item t="default"/>
      </items>
    </pivotField>
    <pivotField showAll="0">
      <items count="74">
        <item x="11"/>
        <item x="10"/>
        <item x="18"/>
        <item x="17"/>
        <item x="31"/>
        <item x="37"/>
        <item x="36"/>
        <item x="3"/>
        <item x="5"/>
        <item x="52"/>
        <item x="53"/>
        <item x="8"/>
        <item x="56"/>
        <item x="22"/>
        <item x="26"/>
        <item x="29"/>
        <item x="9"/>
        <item x="13"/>
        <item x="14"/>
        <item x="16"/>
        <item x="43"/>
        <item x="47"/>
        <item x="50"/>
        <item x="30"/>
        <item x="33"/>
        <item x="35"/>
        <item x="38"/>
        <item x="64"/>
        <item x="67"/>
        <item x="71"/>
        <item x="51"/>
        <item x="55"/>
        <item x="58"/>
        <item x="59"/>
        <item x="0"/>
        <item x="4"/>
        <item x="6"/>
        <item x="2"/>
        <item x="19"/>
        <item x="21"/>
        <item x="23"/>
        <item x="27"/>
        <item x="25"/>
        <item x="40"/>
        <item x="42"/>
        <item x="44"/>
        <item x="48"/>
        <item x="46"/>
        <item x="61"/>
        <item x="65"/>
        <item x="63"/>
        <item x="68"/>
        <item x="70"/>
        <item x="1"/>
        <item x="7"/>
        <item x="20"/>
        <item x="24"/>
        <item x="28"/>
        <item x="41"/>
        <item x="45"/>
        <item x="49"/>
        <item x="62"/>
        <item x="66"/>
        <item x="69"/>
        <item x="12"/>
        <item x="15"/>
        <item x="32"/>
        <item x="34"/>
        <item x="39"/>
        <item x="54"/>
        <item x="57"/>
        <item x="60"/>
        <item x="72"/>
        <item t="default"/>
      </items>
    </pivotField>
  </pivotFields>
  <rowFields count="1">
    <field x="1"/>
  </rowFields>
  <rowItems count="6">
    <i>
      <x/>
    </i>
    <i>
      <x v="1"/>
    </i>
    <i>
      <x v="2"/>
    </i>
    <i>
      <x v="3"/>
    </i>
    <i>
      <x v="4"/>
    </i>
    <i t="grand">
      <x/>
    </i>
  </rowItems>
  <colItems count="1">
    <i/>
  </colItems>
  <pageFields count="1">
    <pageField fld="0" hier="-1"/>
  </pageFields>
  <dataFields count="1">
    <dataField name="Sum of Quantity Sold" fld="2" baseField="0" baseItem="0"/>
  </dataFields>
  <chartFormats count="4">
    <chartFormat chart="6"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ategory">
  <location ref="E6:F12" firstHeaderRow="1" firstDataRow="1" firstDataCol="1" rowPageCount="1" colPageCount="1"/>
  <pivotFields count="5">
    <pivotField axis="axisPage"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1"/>
        <item sd="0" x="0"/>
        <item sd="0" x="2"/>
        <item sd="0" x="3"/>
        <item sd="0" x="4"/>
        <item t="default"/>
      </items>
    </pivotField>
    <pivotField showAll="0"/>
    <pivotField axis="axisRow" showAll="0">
      <items count="8">
        <item x="4"/>
        <item x="1"/>
        <item x="5"/>
        <item x="2"/>
        <item x="0"/>
        <item x="3"/>
        <item x="6"/>
        <item t="default"/>
      </items>
    </pivotField>
    <pivotField dataField="1" showAll="0">
      <items count="74">
        <item x="11"/>
        <item x="10"/>
        <item x="18"/>
        <item x="17"/>
        <item x="31"/>
        <item x="37"/>
        <item x="36"/>
        <item x="3"/>
        <item x="5"/>
        <item x="52"/>
        <item x="53"/>
        <item x="8"/>
        <item x="56"/>
        <item x="22"/>
        <item x="26"/>
        <item x="29"/>
        <item x="9"/>
        <item x="13"/>
        <item x="14"/>
        <item x="16"/>
        <item x="43"/>
        <item x="47"/>
        <item x="50"/>
        <item x="30"/>
        <item x="33"/>
        <item x="35"/>
        <item x="38"/>
        <item x="64"/>
        <item x="67"/>
        <item x="71"/>
        <item x="51"/>
        <item x="55"/>
        <item x="58"/>
        <item x="59"/>
        <item x="0"/>
        <item x="4"/>
        <item x="6"/>
        <item x="2"/>
        <item x="19"/>
        <item x="21"/>
        <item x="23"/>
        <item x="27"/>
        <item x="25"/>
        <item x="40"/>
        <item x="42"/>
        <item x="44"/>
        <item x="48"/>
        <item x="46"/>
        <item x="61"/>
        <item x="65"/>
        <item x="63"/>
        <item x="68"/>
        <item x="70"/>
        <item x="1"/>
        <item x="7"/>
        <item x="20"/>
        <item x="24"/>
        <item x="28"/>
        <item x="41"/>
        <item x="45"/>
        <item x="49"/>
        <item x="62"/>
        <item x="66"/>
        <item x="69"/>
        <item x="12"/>
        <item x="15"/>
        <item x="32"/>
        <item x="34"/>
        <item x="39"/>
        <item x="54"/>
        <item x="57"/>
        <item x="60"/>
        <item x="72"/>
        <item t="default"/>
      </items>
    </pivotField>
  </pivotFields>
  <rowFields count="2">
    <field x="1"/>
    <field x="3"/>
  </rowFields>
  <rowItems count="6">
    <i>
      <x/>
    </i>
    <i>
      <x v="1"/>
    </i>
    <i>
      <x v="2"/>
    </i>
    <i>
      <x v="3"/>
    </i>
    <i>
      <x v="4"/>
    </i>
    <i t="grand">
      <x/>
    </i>
  </rowItems>
  <colItems count="1">
    <i/>
  </colItems>
  <pageFields count="1">
    <pageField fld="0" hier="-1"/>
  </pageFields>
  <dataFields count="1">
    <dataField name="Count of Revenue (₹)" fld="4" subtotal="count" baseField="0" baseItem="0"/>
  </dataFields>
  <formats count="2">
    <format dxfId="2">
      <pivotArea field="0" type="button" dataOnly="0" labelOnly="1" outline="0" axis="axisPage" fieldPosition="0"/>
    </format>
    <format dxfId="3">
      <pivotArea dataOnly="0" fieldPosition="0">
        <references count="1">
          <reference field="1" count="1">
            <x v="4"/>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4"/>
    <pivotTable tabId="2" name="PivotTable5"/>
  </pivotTables>
  <data>
    <tabular pivotCacheId="1">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venue" sourceName="Revenue (₹)">
  <pivotTables>
    <pivotTable tabId="2" name="PivotTable8"/>
  </pivotTables>
  <data>
    <tabular pivotCacheId="2">
      <items count="73">
        <i x="11" s="1"/>
        <i x="10" s="1"/>
        <i x="18" s="1"/>
        <i x="17" s="1"/>
        <i x="31" s="1"/>
        <i x="37" s="1"/>
        <i x="36" s="1"/>
        <i x="3" s="1"/>
        <i x="5" s="1"/>
        <i x="52" s="1"/>
        <i x="53" s="1"/>
        <i x="8" s="1"/>
        <i x="56" s="1"/>
        <i x="22" s="1"/>
        <i x="26" s="1"/>
        <i x="29" s="1"/>
        <i x="9" s="1"/>
        <i x="13" s="1"/>
        <i x="14" s="1"/>
        <i x="16" s="1"/>
        <i x="43" s="1"/>
        <i x="47" s="1"/>
        <i x="50" s="1"/>
        <i x="30" s="1"/>
        <i x="33" s="1"/>
        <i x="35" s="1"/>
        <i x="38" s="1"/>
        <i x="64" s="1"/>
        <i x="67" s="1"/>
        <i x="71" s="1"/>
        <i x="51" s="1"/>
        <i x="55" s="1"/>
        <i x="58" s="1"/>
        <i x="59" s="1"/>
        <i x="0" s="1"/>
        <i x="4" s="1"/>
        <i x="6" s="1"/>
        <i x="2" s="1"/>
        <i x="19" s="1"/>
        <i x="21" s="1"/>
        <i x="23" s="1"/>
        <i x="27" s="1"/>
        <i x="25" s="1"/>
        <i x="40" s="1"/>
        <i x="42" s="1"/>
        <i x="44" s="1"/>
        <i x="48" s="1"/>
        <i x="46" s="1"/>
        <i x="61" s="1"/>
        <i x="65" s="1"/>
        <i x="63" s="1"/>
        <i x="68" s="1"/>
        <i x="70" s="1"/>
        <i x="1" s="1"/>
        <i x="7" s="1"/>
        <i x="20" s="1"/>
        <i x="24" s="1"/>
        <i x="28" s="1"/>
        <i x="41" s="1"/>
        <i x="45" s="1"/>
        <i x="49" s="1"/>
        <i x="62" s="1"/>
        <i x="66" s="1"/>
        <i x="69" s="1"/>
        <i x="12" s="1"/>
        <i x="15" s="1"/>
        <i x="32" s="1"/>
        <i x="34" s="1"/>
        <i x="39" s="1"/>
        <i x="54" s="1"/>
        <i x="57" s="1"/>
        <i x="60" s="1"/>
        <i x="7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ntity_Sold" sourceName="Quantity Sold">
  <pivotTables>
    <pivotTable tabId="2" name="PivotTable5"/>
    <pivotTable tabId="2" name="PivotTable4"/>
  </pivotTables>
  <data>
    <tabular pivotCacheId="1">
      <items count="73">
        <i x="11" s="1"/>
        <i x="18" s="1"/>
        <i x="37" s="1"/>
        <i x="53" s="1"/>
        <i x="10" s="1"/>
        <i x="17" s="1"/>
        <i x="31" s="1"/>
        <i x="36" s="1"/>
        <i x="52" s="1"/>
        <i x="56" s="1"/>
        <i x="2" s="1"/>
        <i x="21" s="1"/>
        <i x="25" s="1"/>
        <i x="42" s="1"/>
        <i x="46" s="1"/>
        <i x="63" s="1"/>
        <i x="70" s="1"/>
        <i x="12" s="1"/>
        <i x="15" s="1"/>
        <i x="32" s="1"/>
        <i x="34" s="1"/>
        <i x="39" s="1"/>
        <i x="54" s="1"/>
        <i x="57" s="1"/>
        <i x="60" s="1"/>
        <i x="1" s="1"/>
        <i x="7" s="1"/>
        <i x="20" s="1"/>
        <i x="24" s="1"/>
        <i x="28" s="1"/>
        <i x="41" s="1"/>
        <i x="45" s="1"/>
        <i x="49" s="1"/>
        <i x="62" s="1"/>
        <i x="66" s="1"/>
        <i x="69" s="1"/>
        <i x="3" s="1"/>
        <i x="5" s="1"/>
        <i x="8" s="1"/>
        <i x="22" s="1"/>
        <i x="26" s="1"/>
        <i x="29" s="1"/>
        <i x="43" s="1"/>
        <i x="47" s="1"/>
        <i x="50" s="1"/>
        <i x="64" s="1"/>
        <i x="67" s="1"/>
        <i x="71" s="1"/>
        <i x="9" s="1"/>
        <i x="13" s="1"/>
        <i x="14" s="1"/>
        <i x="16" s="1"/>
        <i x="30" s="1"/>
        <i x="33" s="1"/>
        <i x="35" s="1"/>
        <i x="38" s="1"/>
        <i x="51" s="1"/>
        <i x="55" s="1"/>
        <i x="58" s="1"/>
        <i x="59" s="1"/>
        <i x="0" s="1"/>
        <i x="4" s="1"/>
        <i x="6" s="1"/>
        <i x="19" s="1"/>
        <i x="23" s="1"/>
        <i x="27" s="1"/>
        <i x="40" s="1"/>
        <i x="44" s="1"/>
        <i x="48" s="1"/>
        <i x="61" s="1"/>
        <i x="65" s="1"/>
        <i x="68" s="1"/>
        <i x="7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Revenue (₹)" cache="Slicer_Revenue" caption="Revenue (₹)" rowHeight="241300"/>
  <slicer name="Quantity Sold" cache="Slicer_Quantity_Sold" caption="Quantity Sold" rowHeight="241300"/>
</slicers>
</file>

<file path=xl/tables/table1.xml><?xml version="1.0" encoding="utf-8"?>
<table xmlns="http://schemas.openxmlformats.org/spreadsheetml/2006/main" id="1" name="Table2" displayName="Table2" ref="B3:F100" totalsRowShown="0" headerRowDxfId="10" dataDxfId="9">
  <autoFilter ref="B3:F99"/>
  <tableColumns count="5">
    <tableColumn id="1" name="Date" dataDxfId="8"/>
    <tableColumn id="2" name="Category" dataDxfId="7"/>
    <tableColumn id="3" name="Quantity Sold" dataDxfId="6"/>
    <tableColumn id="4" name="Avg Price (₹)" dataDxfId="5"/>
    <tableColumn id="5" name="Revenue (₹)" dataDxfId="4"/>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H5:I9" totalsRowShown="0">
  <autoFilter ref="H5:I9"/>
  <tableColumns count="2">
    <tableColumn id="1" name="Category"/>
    <tableColumn id="2" name="Qty sol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100"/>
  <sheetViews>
    <sheetView tabSelected="1" workbookViewId="0">
      <selection activeCell="H17" sqref="H17"/>
    </sheetView>
  </sheetViews>
  <sheetFormatPr defaultRowHeight="15" x14ac:dyDescent="0.25"/>
  <cols>
    <col min="2" max="2" width="13.140625" style="6" customWidth="1"/>
    <col min="3" max="3" width="21.140625" style="7" customWidth="1"/>
    <col min="4" max="4" width="18.5703125" style="6" customWidth="1"/>
    <col min="5" max="5" width="17.42578125" style="13" customWidth="1"/>
    <col min="6" max="6" width="16.85546875" style="6" customWidth="1"/>
    <col min="8" max="8" width="19.85546875" customWidth="1"/>
    <col min="9" max="9" width="10.42578125" customWidth="1"/>
  </cols>
  <sheetData>
    <row r="3" spans="2:9" s="1" customFormat="1" ht="28.5" customHeight="1" x14ac:dyDescent="0.25">
      <c r="B3" s="1" t="s">
        <v>0</v>
      </c>
      <c r="C3" s="1" t="s">
        <v>1</v>
      </c>
      <c r="D3" s="1" t="s">
        <v>2</v>
      </c>
      <c r="E3" s="11" t="s">
        <v>3</v>
      </c>
      <c r="F3" s="1" t="s">
        <v>4</v>
      </c>
    </row>
    <row r="4" spans="2:9" s="5" customFormat="1" ht="15.75" x14ac:dyDescent="0.25">
      <c r="B4" s="2">
        <v>46143</v>
      </c>
      <c r="C4" s="3" t="s">
        <v>5</v>
      </c>
      <c r="D4" s="4">
        <v>610</v>
      </c>
      <c r="E4" s="14" t="s">
        <v>6</v>
      </c>
      <c r="F4" s="15" t="s">
        <v>7</v>
      </c>
    </row>
    <row r="5" spans="2:9" s="5" customFormat="1" ht="15.75" x14ac:dyDescent="0.25">
      <c r="B5" s="2">
        <v>46143</v>
      </c>
      <c r="C5" s="3" t="s">
        <v>8</v>
      </c>
      <c r="D5" s="4">
        <v>135</v>
      </c>
      <c r="E5" s="12" t="s">
        <v>9</v>
      </c>
      <c r="F5" s="4" t="s">
        <v>10</v>
      </c>
      <c r="H5" t="s">
        <v>1</v>
      </c>
      <c r="I5" t="s">
        <v>95</v>
      </c>
    </row>
    <row r="6" spans="2:9" s="5" customFormat="1" ht="15.75" x14ac:dyDescent="0.25">
      <c r="B6" s="2">
        <v>46143</v>
      </c>
      <c r="C6" s="3" t="s">
        <v>11</v>
      </c>
      <c r="D6" s="4">
        <v>60</v>
      </c>
      <c r="E6" s="12" t="s">
        <v>12</v>
      </c>
      <c r="F6" s="4" t="s">
        <v>13</v>
      </c>
      <c r="H6" t="s">
        <v>5</v>
      </c>
      <c r="I6">
        <v>11877</v>
      </c>
    </row>
    <row r="7" spans="2:9" s="5" customFormat="1" ht="15.75" x14ac:dyDescent="0.25">
      <c r="B7" s="2">
        <v>46143</v>
      </c>
      <c r="C7" s="3" t="s">
        <v>14</v>
      </c>
      <c r="D7" s="4">
        <v>165</v>
      </c>
      <c r="E7" s="12" t="s">
        <v>15</v>
      </c>
      <c r="F7" s="4" t="s">
        <v>16</v>
      </c>
      <c r="H7" t="s">
        <v>8</v>
      </c>
      <c r="I7">
        <v>2380</v>
      </c>
    </row>
    <row r="8" spans="2:9" s="5" customFormat="1" ht="15.75" x14ac:dyDescent="0.25">
      <c r="B8" s="2">
        <v>46144</v>
      </c>
      <c r="C8" s="3" t="s">
        <v>5</v>
      </c>
      <c r="D8" s="4">
        <v>614</v>
      </c>
      <c r="E8" s="12" t="s">
        <v>6</v>
      </c>
      <c r="F8" s="4" t="s">
        <v>17</v>
      </c>
      <c r="H8" t="s">
        <v>11</v>
      </c>
      <c r="I8">
        <v>1113</v>
      </c>
    </row>
    <row r="9" spans="2:9" s="5" customFormat="1" ht="15.75" x14ac:dyDescent="0.25">
      <c r="B9" s="2">
        <v>46144</v>
      </c>
      <c r="C9" s="3" t="s">
        <v>8</v>
      </c>
      <c r="D9" s="4">
        <v>135</v>
      </c>
      <c r="E9" s="12" t="s">
        <v>9</v>
      </c>
      <c r="F9" s="4" t="s">
        <v>10</v>
      </c>
      <c r="H9" t="s">
        <v>96</v>
      </c>
      <c r="I9">
        <v>3025</v>
      </c>
    </row>
    <row r="10" spans="2:9" s="5" customFormat="1" ht="15.75" x14ac:dyDescent="0.25">
      <c r="B10" s="2">
        <v>46144</v>
      </c>
      <c r="C10" s="3" t="s">
        <v>11</v>
      </c>
      <c r="D10" s="4">
        <v>60</v>
      </c>
      <c r="E10" s="12" t="s">
        <v>12</v>
      </c>
      <c r="F10" s="4" t="s">
        <v>13</v>
      </c>
    </row>
    <row r="11" spans="2:9" s="5" customFormat="1" ht="15.75" x14ac:dyDescent="0.25">
      <c r="B11" s="2">
        <v>46144</v>
      </c>
      <c r="C11" s="3" t="s">
        <v>14</v>
      </c>
      <c r="D11" s="4">
        <v>166</v>
      </c>
      <c r="E11" s="12" t="s">
        <v>15</v>
      </c>
      <c r="F11" s="4" t="s">
        <v>18</v>
      </c>
    </row>
    <row r="12" spans="2:9" s="5" customFormat="1" ht="15.75" x14ac:dyDescent="0.25">
      <c r="B12" s="2">
        <v>46145</v>
      </c>
      <c r="C12" s="3" t="s">
        <v>5</v>
      </c>
      <c r="D12" s="4">
        <v>618</v>
      </c>
      <c r="E12" s="12" t="s">
        <v>6</v>
      </c>
      <c r="F12" s="4" t="s">
        <v>19</v>
      </c>
    </row>
    <row r="13" spans="2:9" s="5" customFormat="1" ht="15.75" x14ac:dyDescent="0.25">
      <c r="B13" s="2">
        <v>46145</v>
      </c>
      <c r="C13" s="3" t="s">
        <v>8</v>
      </c>
      <c r="D13" s="4">
        <v>136</v>
      </c>
      <c r="E13" s="12" t="s">
        <v>9</v>
      </c>
      <c r="F13" s="4" t="s">
        <v>20</v>
      </c>
    </row>
    <row r="14" spans="2:9" s="5" customFormat="1" ht="15.75" x14ac:dyDescent="0.25">
      <c r="B14" s="2">
        <v>46145</v>
      </c>
      <c r="C14" s="3" t="s">
        <v>11</v>
      </c>
      <c r="D14" s="4">
        <v>60</v>
      </c>
      <c r="E14" s="12" t="s">
        <v>12</v>
      </c>
      <c r="F14" s="4" t="s">
        <v>13</v>
      </c>
    </row>
    <row r="15" spans="2:9" s="5" customFormat="1" ht="15.75" x14ac:dyDescent="0.25">
      <c r="B15" s="2">
        <v>46145</v>
      </c>
      <c r="C15" s="3" t="s">
        <v>14</v>
      </c>
      <c r="D15" s="4">
        <v>167</v>
      </c>
      <c r="E15" s="12" t="s">
        <v>15</v>
      </c>
      <c r="F15" s="4" t="s">
        <v>21</v>
      </c>
    </row>
    <row r="16" spans="2:9" s="5" customFormat="1" ht="15.75" x14ac:dyDescent="0.25">
      <c r="B16" s="2">
        <v>46146</v>
      </c>
      <c r="C16" s="3" t="s">
        <v>5</v>
      </c>
      <c r="D16" s="4">
        <v>316</v>
      </c>
      <c r="E16" s="12" t="s">
        <v>6</v>
      </c>
      <c r="F16" s="4" t="s">
        <v>22</v>
      </c>
    </row>
    <row r="17" spans="2:6" s="5" customFormat="1" ht="15.75" x14ac:dyDescent="0.25">
      <c r="B17" s="2">
        <v>46146</v>
      </c>
      <c r="C17" s="3" t="s">
        <v>8</v>
      </c>
      <c r="D17" s="4">
        <v>51</v>
      </c>
      <c r="E17" s="12" t="s">
        <v>23</v>
      </c>
      <c r="F17" s="4" t="s">
        <v>24</v>
      </c>
    </row>
    <row r="18" spans="2:6" s="5" customFormat="1" ht="15.75" x14ac:dyDescent="0.25">
      <c r="B18" s="2">
        <v>46146</v>
      </c>
      <c r="C18" s="3" t="s">
        <v>11</v>
      </c>
      <c r="D18" s="4">
        <v>27</v>
      </c>
      <c r="E18" s="12" t="s">
        <v>25</v>
      </c>
      <c r="F18" s="4" t="s">
        <v>26</v>
      </c>
    </row>
    <row r="19" spans="2:6" s="5" customFormat="1" ht="15.75" x14ac:dyDescent="0.25">
      <c r="B19" s="2">
        <v>46146</v>
      </c>
      <c r="C19" s="3" t="s">
        <v>14</v>
      </c>
      <c r="D19" s="4">
        <v>71</v>
      </c>
      <c r="E19" s="12" t="s">
        <v>15</v>
      </c>
      <c r="F19" s="4" t="s">
        <v>27</v>
      </c>
    </row>
    <row r="20" spans="2:6" s="5" customFormat="1" ht="15.75" x14ac:dyDescent="0.25">
      <c r="B20" s="2">
        <v>46147</v>
      </c>
      <c r="C20" s="3" t="s">
        <v>5</v>
      </c>
      <c r="D20" s="4">
        <v>318</v>
      </c>
      <c r="E20" s="12" t="s">
        <v>6</v>
      </c>
      <c r="F20" s="4" t="s">
        <v>28</v>
      </c>
    </row>
    <row r="21" spans="2:6" s="5" customFormat="1" ht="15.75" x14ac:dyDescent="0.25">
      <c r="B21" s="2">
        <v>46147</v>
      </c>
      <c r="C21" s="3" t="s">
        <v>8</v>
      </c>
      <c r="D21" s="4">
        <v>51</v>
      </c>
      <c r="E21" s="12" t="s">
        <v>23</v>
      </c>
      <c r="F21" s="4" t="s">
        <v>24</v>
      </c>
    </row>
    <row r="22" spans="2:6" s="5" customFormat="1" ht="15.75" x14ac:dyDescent="0.25">
      <c r="B22" s="2">
        <v>46147</v>
      </c>
      <c r="C22" s="3" t="s">
        <v>11</v>
      </c>
      <c r="D22" s="4">
        <v>27</v>
      </c>
      <c r="E22" s="12" t="s">
        <v>25</v>
      </c>
      <c r="F22" s="4" t="s">
        <v>26</v>
      </c>
    </row>
    <row r="23" spans="2:6" s="5" customFormat="1" ht="15.75" x14ac:dyDescent="0.25">
      <c r="B23" s="2">
        <v>46147</v>
      </c>
      <c r="C23" s="3" t="s">
        <v>14</v>
      </c>
      <c r="D23" s="4">
        <v>71</v>
      </c>
      <c r="E23" s="12" t="s">
        <v>15</v>
      </c>
      <c r="F23" s="4" t="s">
        <v>27</v>
      </c>
    </row>
    <row r="24" spans="2:6" s="5" customFormat="1" ht="15.75" x14ac:dyDescent="0.25">
      <c r="B24" s="2">
        <v>46148</v>
      </c>
      <c r="C24" s="3" t="s">
        <v>5</v>
      </c>
      <c r="D24" s="4">
        <v>320</v>
      </c>
      <c r="E24" s="12" t="s">
        <v>6</v>
      </c>
      <c r="F24" s="4" t="s">
        <v>29</v>
      </c>
    </row>
    <row r="25" spans="2:6" s="5" customFormat="1" ht="15.75" x14ac:dyDescent="0.25">
      <c r="B25" s="2">
        <v>46148</v>
      </c>
      <c r="C25" s="3" t="s">
        <v>8</v>
      </c>
      <c r="D25" s="4">
        <v>51</v>
      </c>
      <c r="E25" s="12" t="s">
        <v>23</v>
      </c>
      <c r="F25" s="4" t="s">
        <v>24</v>
      </c>
    </row>
    <row r="26" spans="2:6" s="5" customFormat="1" ht="15.75" x14ac:dyDescent="0.25">
      <c r="B26" s="2">
        <v>46148</v>
      </c>
      <c r="C26" s="3" t="s">
        <v>11</v>
      </c>
      <c r="D26" s="4">
        <v>27</v>
      </c>
      <c r="E26" s="12" t="s">
        <v>25</v>
      </c>
      <c r="F26" s="4" t="s">
        <v>26</v>
      </c>
    </row>
    <row r="27" spans="2:6" s="5" customFormat="1" ht="15.75" x14ac:dyDescent="0.25">
      <c r="B27" s="2">
        <v>46148</v>
      </c>
      <c r="C27" s="3" t="s">
        <v>14</v>
      </c>
      <c r="D27" s="4">
        <v>72</v>
      </c>
      <c r="E27" s="12" t="s">
        <v>15</v>
      </c>
      <c r="F27" s="4" t="s">
        <v>30</v>
      </c>
    </row>
    <row r="28" spans="2:6" s="5" customFormat="1" ht="15.75" x14ac:dyDescent="0.25">
      <c r="B28" s="2">
        <v>46149</v>
      </c>
      <c r="C28" s="3" t="s">
        <v>5</v>
      </c>
      <c r="D28" s="4">
        <v>322</v>
      </c>
      <c r="E28" s="12" t="s">
        <v>6</v>
      </c>
      <c r="F28" s="4" t="s">
        <v>31</v>
      </c>
    </row>
    <row r="29" spans="2:6" s="5" customFormat="1" ht="15.75" x14ac:dyDescent="0.25">
      <c r="B29" s="2">
        <v>46149</v>
      </c>
      <c r="C29" s="3" t="s">
        <v>8</v>
      </c>
      <c r="D29" s="4">
        <v>52</v>
      </c>
      <c r="E29" s="12" t="s">
        <v>23</v>
      </c>
      <c r="F29" s="4" t="s">
        <v>32</v>
      </c>
    </row>
    <row r="30" spans="2:6" s="5" customFormat="1" ht="15.75" x14ac:dyDescent="0.25">
      <c r="B30" s="2">
        <v>46149</v>
      </c>
      <c r="C30" s="3" t="s">
        <v>11</v>
      </c>
      <c r="D30" s="4">
        <v>28</v>
      </c>
      <c r="E30" s="12" t="s">
        <v>25</v>
      </c>
      <c r="F30" s="4" t="s">
        <v>33</v>
      </c>
    </row>
    <row r="31" spans="2:6" s="5" customFormat="1" ht="15.75" x14ac:dyDescent="0.25">
      <c r="B31" s="2">
        <v>46149</v>
      </c>
      <c r="C31" s="3" t="s">
        <v>14</v>
      </c>
      <c r="D31" s="4">
        <v>72</v>
      </c>
      <c r="E31" s="12" t="s">
        <v>15</v>
      </c>
      <c r="F31" s="4" t="s">
        <v>30</v>
      </c>
    </row>
    <row r="32" spans="2:6" s="5" customFormat="1" ht="15.75" x14ac:dyDescent="0.25">
      <c r="B32" s="2">
        <v>46150</v>
      </c>
      <c r="C32" s="3" t="s">
        <v>5</v>
      </c>
      <c r="D32" s="4">
        <v>638</v>
      </c>
      <c r="E32" s="12" t="s">
        <v>6</v>
      </c>
      <c r="F32" s="4" t="s">
        <v>34</v>
      </c>
    </row>
    <row r="33" spans="2:6" s="5" customFormat="1" ht="15.75" x14ac:dyDescent="0.25">
      <c r="B33" s="2">
        <v>46150</v>
      </c>
      <c r="C33" s="3" t="s">
        <v>8</v>
      </c>
      <c r="D33" s="4">
        <v>141</v>
      </c>
      <c r="E33" s="12" t="s">
        <v>9</v>
      </c>
      <c r="F33" s="4" t="s">
        <v>35</v>
      </c>
    </row>
    <row r="34" spans="2:6" s="5" customFormat="1" ht="15.75" x14ac:dyDescent="0.25">
      <c r="B34" s="2">
        <v>46150</v>
      </c>
      <c r="C34" s="3" t="s">
        <v>11</v>
      </c>
      <c r="D34" s="4">
        <v>62</v>
      </c>
      <c r="E34" s="12" t="s">
        <v>12</v>
      </c>
      <c r="F34" s="4" t="s">
        <v>36</v>
      </c>
    </row>
    <row r="35" spans="2:6" s="5" customFormat="1" ht="15.75" x14ac:dyDescent="0.25">
      <c r="B35" s="2">
        <v>46150</v>
      </c>
      <c r="C35" s="3" t="s">
        <v>14</v>
      </c>
      <c r="D35" s="4">
        <v>172</v>
      </c>
      <c r="E35" s="12" t="s">
        <v>15</v>
      </c>
      <c r="F35" s="4" t="s">
        <v>37</v>
      </c>
    </row>
    <row r="36" spans="2:6" s="5" customFormat="1" ht="15.75" x14ac:dyDescent="0.25">
      <c r="B36" s="2">
        <v>46151</v>
      </c>
      <c r="C36" s="3" t="s">
        <v>5</v>
      </c>
      <c r="D36" s="4">
        <v>642</v>
      </c>
      <c r="E36" s="12" t="s">
        <v>6</v>
      </c>
      <c r="F36" s="4" t="s">
        <v>38</v>
      </c>
    </row>
    <row r="37" spans="2:6" s="5" customFormat="1" ht="15.75" x14ac:dyDescent="0.25">
      <c r="B37" s="2">
        <v>46151</v>
      </c>
      <c r="C37" s="3" t="s">
        <v>8</v>
      </c>
      <c r="D37" s="4">
        <v>142</v>
      </c>
      <c r="E37" s="12" t="s">
        <v>9</v>
      </c>
      <c r="F37" s="4" t="s">
        <v>39</v>
      </c>
    </row>
    <row r="38" spans="2:6" s="5" customFormat="1" ht="15.75" x14ac:dyDescent="0.25">
      <c r="B38" s="2">
        <v>46151</v>
      </c>
      <c r="C38" s="3" t="s">
        <v>11</v>
      </c>
      <c r="D38" s="4">
        <v>63</v>
      </c>
      <c r="E38" s="12" t="s">
        <v>12</v>
      </c>
      <c r="F38" s="4" t="s">
        <v>40</v>
      </c>
    </row>
    <row r="39" spans="2:6" s="5" customFormat="1" ht="15.75" x14ac:dyDescent="0.25">
      <c r="B39" s="2">
        <v>46151</v>
      </c>
      <c r="C39" s="3" t="s">
        <v>14</v>
      </c>
      <c r="D39" s="4">
        <v>173</v>
      </c>
      <c r="E39" s="12" t="s">
        <v>15</v>
      </c>
      <c r="F39" s="4" t="s">
        <v>41</v>
      </c>
    </row>
    <row r="40" spans="2:6" s="5" customFormat="1" ht="15.75" x14ac:dyDescent="0.25">
      <c r="B40" s="2">
        <v>46152</v>
      </c>
      <c r="C40" s="3" t="s">
        <v>5</v>
      </c>
      <c r="D40" s="4">
        <v>646</v>
      </c>
      <c r="E40" s="12" t="s">
        <v>6</v>
      </c>
      <c r="F40" s="4" t="s">
        <v>42</v>
      </c>
    </row>
    <row r="41" spans="2:6" s="5" customFormat="1" ht="15.75" x14ac:dyDescent="0.25">
      <c r="B41" s="2">
        <v>46152</v>
      </c>
      <c r="C41" s="3" t="s">
        <v>8</v>
      </c>
      <c r="D41" s="4">
        <v>143</v>
      </c>
      <c r="E41" s="12" t="s">
        <v>9</v>
      </c>
      <c r="F41" s="4" t="s">
        <v>43</v>
      </c>
    </row>
    <row r="42" spans="2:6" s="5" customFormat="1" ht="15.75" x14ac:dyDescent="0.25">
      <c r="B42" s="2">
        <v>46152</v>
      </c>
      <c r="C42" s="3" t="s">
        <v>11</v>
      </c>
      <c r="D42" s="4">
        <v>63</v>
      </c>
      <c r="E42" s="12" t="s">
        <v>12</v>
      </c>
      <c r="F42" s="4" t="s">
        <v>40</v>
      </c>
    </row>
    <row r="43" spans="2:6" s="5" customFormat="1" ht="15.75" x14ac:dyDescent="0.25">
      <c r="B43" s="2">
        <v>46152</v>
      </c>
      <c r="C43" s="3" t="s">
        <v>14</v>
      </c>
      <c r="D43" s="4">
        <v>174</v>
      </c>
      <c r="E43" s="12" t="s">
        <v>15</v>
      </c>
      <c r="F43" s="4" t="s">
        <v>44</v>
      </c>
    </row>
    <row r="44" spans="2:6" s="5" customFormat="1" ht="15.75" x14ac:dyDescent="0.25">
      <c r="B44" s="2">
        <v>46153</v>
      </c>
      <c r="C44" s="3" t="s">
        <v>5</v>
      </c>
      <c r="D44" s="4">
        <v>330</v>
      </c>
      <c r="E44" s="12" t="s">
        <v>6</v>
      </c>
      <c r="F44" s="4" t="s">
        <v>45</v>
      </c>
    </row>
    <row r="45" spans="2:6" s="5" customFormat="1" ht="15.75" x14ac:dyDescent="0.25">
      <c r="B45" s="2">
        <v>46153</v>
      </c>
      <c r="C45" s="3" t="s">
        <v>8</v>
      </c>
      <c r="D45" s="4">
        <v>53</v>
      </c>
      <c r="E45" s="12" t="s">
        <v>23</v>
      </c>
      <c r="F45" s="4" t="s">
        <v>46</v>
      </c>
    </row>
    <row r="46" spans="2:6" s="5" customFormat="1" ht="15.75" x14ac:dyDescent="0.25">
      <c r="B46" s="2">
        <v>46153</v>
      </c>
      <c r="C46" s="3" t="s">
        <v>11</v>
      </c>
      <c r="D46" s="4">
        <v>28</v>
      </c>
      <c r="E46" s="12" t="s">
        <v>25</v>
      </c>
      <c r="F46" s="4" t="s">
        <v>33</v>
      </c>
    </row>
    <row r="47" spans="2:6" s="5" customFormat="1" ht="15.75" x14ac:dyDescent="0.25">
      <c r="B47" s="2">
        <v>46153</v>
      </c>
      <c r="C47" s="3" t="s">
        <v>14</v>
      </c>
      <c r="D47" s="4">
        <v>74</v>
      </c>
      <c r="E47" s="12" t="s">
        <v>15</v>
      </c>
      <c r="F47" s="4" t="s">
        <v>47</v>
      </c>
    </row>
    <row r="48" spans="2:6" s="5" customFormat="1" ht="15.75" x14ac:dyDescent="0.25">
      <c r="B48" s="2">
        <v>46154</v>
      </c>
      <c r="C48" s="3" t="s">
        <v>5</v>
      </c>
      <c r="D48" s="4">
        <v>332</v>
      </c>
      <c r="E48" s="12" t="s">
        <v>6</v>
      </c>
      <c r="F48" s="4" t="s">
        <v>48</v>
      </c>
    </row>
    <row r="49" spans="2:6" s="5" customFormat="1" ht="15.75" x14ac:dyDescent="0.25">
      <c r="B49" s="2">
        <v>46154</v>
      </c>
      <c r="C49" s="3" t="s">
        <v>8</v>
      </c>
      <c r="D49" s="4">
        <v>53</v>
      </c>
      <c r="E49" s="12" t="s">
        <v>23</v>
      </c>
      <c r="F49" s="4" t="s">
        <v>46</v>
      </c>
    </row>
    <row r="50" spans="2:6" s="5" customFormat="1" ht="15.75" x14ac:dyDescent="0.25">
      <c r="B50" s="2">
        <v>46154</v>
      </c>
      <c r="C50" s="3" t="s">
        <v>11</v>
      </c>
      <c r="D50" s="4">
        <v>28</v>
      </c>
      <c r="E50" s="12" t="s">
        <v>25</v>
      </c>
      <c r="F50" s="4" t="s">
        <v>33</v>
      </c>
    </row>
    <row r="51" spans="2:6" s="5" customFormat="1" ht="15.75" x14ac:dyDescent="0.25">
      <c r="B51" s="2">
        <v>46154</v>
      </c>
      <c r="C51" s="3" t="s">
        <v>14</v>
      </c>
      <c r="D51" s="4">
        <v>75</v>
      </c>
      <c r="E51" s="12" t="s">
        <v>15</v>
      </c>
      <c r="F51" s="4" t="s">
        <v>49</v>
      </c>
    </row>
    <row r="52" spans="2:6" s="5" customFormat="1" ht="15.75" x14ac:dyDescent="0.25">
      <c r="B52" s="2">
        <v>46155</v>
      </c>
      <c r="C52" s="3" t="s">
        <v>5</v>
      </c>
      <c r="D52" s="4">
        <v>334</v>
      </c>
      <c r="E52" s="12" t="s">
        <v>6</v>
      </c>
      <c r="F52" s="4" t="s">
        <v>50</v>
      </c>
    </row>
    <row r="53" spans="2:6" s="5" customFormat="1" ht="15.75" x14ac:dyDescent="0.25">
      <c r="B53" s="2">
        <v>46155</v>
      </c>
      <c r="C53" s="3" t="s">
        <v>8</v>
      </c>
      <c r="D53" s="4">
        <v>54</v>
      </c>
      <c r="E53" s="12" t="s">
        <v>23</v>
      </c>
      <c r="F53" s="4" t="s">
        <v>51</v>
      </c>
    </row>
    <row r="54" spans="2:6" s="5" customFormat="1" ht="15.75" x14ac:dyDescent="0.25">
      <c r="B54" s="2">
        <v>46155</v>
      </c>
      <c r="C54" s="3" t="s">
        <v>11</v>
      </c>
      <c r="D54" s="4">
        <v>29</v>
      </c>
      <c r="E54" s="12" t="s">
        <v>25</v>
      </c>
      <c r="F54" s="4" t="s">
        <v>52</v>
      </c>
    </row>
    <row r="55" spans="2:6" s="5" customFormat="1" ht="15.75" x14ac:dyDescent="0.25">
      <c r="B55" s="2">
        <v>46155</v>
      </c>
      <c r="C55" s="3" t="s">
        <v>14</v>
      </c>
      <c r="D55" s="4">
        <v>75</v>
      </c>
      <c r="E55" s="12" t="s">
        <v>15</v>
      </c>
      <c r="F55" s="4" t="s">
        <v>49</v>
      </c>
    </row>
    <row r="56" spans="2:6" s="5" customFormat="1" ht="15.75" x14ac:dyDescent="0.25">
      <c r="B56" s="2">
        <v>46156</v>
      </c>
      <c r="C56" s="3" t="s">
        <v>5</v>
      </c>
      <c r="D56" s="4">
        <v>336</v>
      </c>
      <c r="E56" s="12" t="s">
        <v>6</v>
      </c>
      <c r="F56" s="4" t="s">
        <v>53</v>
      </c>
    </row>
    <row r="57" spans="2:6" s="5" customFormat="1" ht="15.75" x14ac:dyDescent="0.25">
      <c r="B57" s="2">
        <v>46156</v>
      </c>
      <c r="C57" s="3" t="s">
        <v>8</v>
      </c>
      <c r="D57" s="4">
        <v>54</v>
      </c>
      <c r="E57" s="12" t="s">
        <v>23</v>
      </c>
      <c r="F57" s="4" t="s">
        <v>51</v>
      </c>
    </row>
    <row r="58" spans="2:6" s="5" customFormat="1" ht="15.75" x14ac:dyDescent="0.25">
      <c r="B58" s="2">
        <v>46156</v>
      </c>
      <c r="C58" s="3" t="s">
        <v>11</v>
      </c>
      <c r="D58" s="4">
        <v>29</v>
      </c>
      <c r="E58" s="12" t="s">
        <v>25</v>
      </c>
      <c r="F58" s="4" t="s">
        <v>52</v>
      </c>
    </row>
    <row r="59" spans="2:6" s="5" customFormat="1" ht="15.75" x14ac:dyDescent="0.25">
      <c r="B59" s="2">
        <v>46156</v>
      </c>
      <c r="C59" s="3" t="s">
        <v>14</v>
      </c>
      <c r="D59" s="4">
        <v>76</v>
      </c>
      <c r="E59" s="12" t="s">
        <v>15</v>
      </c>
      <c r="F59" s="4" t="s">
        <v>54</v>
      </c>
    </row>
    <row r="60" spans="2:6" s="5" customFormat="1" ht="15.75" x14ac:dyDescent="0.25">
      <c r="B60" s="2">
        <v>46157</v>
      </c>
      <c r="C60" s="3" t="s">
        <v>5</v>
      </c>
      <c r="D60" s="4">
        <v>666</v>
      </c>
      <c r="E60" s="12" t="s">
        <v>6</v>
      </c>
      <c r="F60" s="4" t="s">
        <v>55</v>
      </c>
    </row>
    <row r="61" spans="2:6" s="5" customFormat="1" ht="15.75" x14ac:dyDescent="0.25">
      <c r="B61" s="2">
        <v>46157</v>
      </c>
      <c r="C61" s="3" t="s">
        <v>8</v>
      </c>
      <c r="D61" s="4">
        <v>147</v>
      </c>
      <c r="E61" s="12" t="s">
        <v>9</v>
      </c>
      <c r="F61" s="4" t="s">
        <v>56</v>
      </c>
    </row>
    <row r="62" spans="2:6" s="5" customFormat="1" ht="15.75" x14ac:dyDescent="0.25">
      <c r="B62" s="2">
        <v>46157</v>
      </c>
      <c r="C62" s="3" t="s">
        <v>11</v>
      </c>
      <c r="D62" s="4">
        <v>65</v>
      </c>
      <c r="E62" s="12" t="s">
        <v>12</v>
      </c>
      <c r="F62" s="4" t="s">
        <v>57</v>
      </c>
    </row>
    <row r="63" spans="2:6" s="5" customFormat="1" ht="15.75" x14ac:dyDescent="0.25">
      <c r="B63" s="2">
        <v>46157</v>
      </c>
      <c r="C63" s="3" t="s">
        <v>14</v>
      </c>
      <c r="D63" s="4">
        <v>180</v>
      </c>
      <c r="E63" s="12" t="s">
        <v>15</v>
      </c>
      <c r="F63" s="4" t="s">
        <v>58</v>
      </c>
    </row>
    <row r="64" spans="2:6" s="5" customFormat="1" ht="15.75" x14ac:dyDescent="0.25">
      <c r="B64" s="2">
        <v>46158</v>
      </c>
      <c r="C64" s="3" t="s">
        <v>5</v>
      </c>
      <c r="D64" s="4">
        <v>671</v>
      </c>
      <c r="E64" s="12" t="s">
        <v>6</v>
      </c>
      <c r="F64" s="4" t="s">
        <v>59</v>
      </c>
    </row>
    <row r="65" spans="2:6" s="5" customFormat="1" ht="15.75" x14ac:dyDescent="0.25">
      <c r="B65" s="2">
        <v>46158</v>
      </c>
      <c r="C65" s="3" t="s">
        <v>8</v>
      </c>
      <c r="D65" s="4">
        <v>148</v>
      </c>
      <c r="E65" s="12" t="s">
        <v>9</v>
      </c>
      <c r="F65" s="4" t="s">
        <v>60</v>
      </c>
    </row>
    <row r="66" spans="2:6" s="5" customFormat="1" ht="15.75" x14ac:dyDescent="0.25">
      <c r="B66" s="2">
        <v>46158</v>
      </c>
      <c r="C66" s="3" t="s">
        <v>11</v>
      </c>
      <c r="D66" s="4">
        <v>66</v>
      </c>
      <c r="E66" s="12" t="s">
        <v>12</v>
      </c>
      <c r="F66" s="4" t="s">
        <v>61</v>
      </c>
    </row>
    <row r="67" spans="2:6" s="5" customFormat="1" ht="15.75" x14ac:dyDescent="0.25">
      <c r="B67" s="2">
        <v>46158</v>
      </c>
      <c r="C67" s="3" t="s">
        <v>14</v>
      </c>
      <c r="D67" s="4">
        <v>181</v>
      </c>
      <c r="E67" s="12" t="s">
        <v>15</v>
      </c>
      <c r="F67" s="4" t="s">
        <v>62</v>
      </c>
    </row>
    <row r="68" spans="2:6" s="5" customFormat="1" ht="15.75" x14ac:dyDescent="0.25">
      <c r="B68" s="2">
        <v>46159</v>
      </c>
      <c r="C68" s="3" t="s">
        <v>5</v>
      </c>
      <c r="D68" s="4">
        <v>675</v>
      </c>
      <c r="E68" s="12" t="s">
        <v>6</v>
      </c>
      <c r="F68" s="4" t="s">
        <v>63</v>
      </c>
    </row>
    <row r="69" spans="2:6" s="5" customFormat="1" ht="15.75" x14ac:dyDescent="0.25">
      <c r="B69" s="2">
        <v>46159</v>
      </c>
      <c r="C69" s="3" t="s">
        <v>8</v>
      </c>
      <c r="D69" s="4">
        <v>149</v>
      </c>
      <c r="E69" s="12" t="s">
        <v>9</v>
      </c>
      <c r="F69" s="4" t="s">
        <v>64</v>
      </c>
    </row>
    <row r="70" spans="2:6" s="5" customFormat="1" ht="15.75" x14ac:dyDescent="0.25">
      <c r="B70" s="2">
        <v>46159</v>
      </c>
      <c r="C70" s="3" t="s">
        <v>11</v>
      </c>
      <c r="D70" s="4">
        <v>66</v>
      </c>
      <c r="E70" s="12" t="s">
        <v>12</v>
      </c>
      <c r="F70" s="4" t="s">
        <v>61</v>
      </c>
    </row>
    <row r="71" spans="2:6" s="5" customFormat="1" ht="15.75" x14ac:dyDescent="0.25">
      <c r="B71" s="2">
        <v>46159</v>
      </c>
      <c r="C71" s="3" t="s">
        <v>14</v>
      </c>
      <c r="D71" s="4">
        <v>182</v>
      </c>
      <c r="E71" s="12" t="s">
        <v>15</v>
      </c>
      <c r="F71" s="4" t="s">
        <v>65</v>
      </c>
    </row>
    <row r="72" spans="2:6" s="5" customFormat="1" ht="15.75" x14ac:dyDescent="0.25">
      <c r="B72" s="2">
        <v>46160</v>
      </c>
      <c r="C72" s="3" t="s">
        <v>5</v>
      </c>
      <c r="D72" s="4">
        <v>345</v>
      </c>
      <c r="E72" s="12" t="s">
        <v>6</v>
      </c>
      <c r="F72" s="4" t="s">
        <v>66</v>
      </c>
    </row>
    <row r="73" spans="2:6" s="5" customFormat="1" ht="15.75" x14ac:dyDescent="0.25">
      <c r="B73" s="2">
        <v>46160</v>
      </c>
      <c r="C73" s="3" t="s">
        <v>8</v>
      </c>
      <c r="D73" s="4">
        <v>55</v>
      </c>
      <c r="E73" s="12" t="s">
        <v>23</v>
      </c>
      <c r="F73" s="4" t="s">
        <v>67</v>
      </c>
    </row>
    <row r="74" spans="2:6" s="5" customFormat="1" ht="15.75" x14ac:dyDescent="0.25">
      <c r="B74" s="2">
        <v>46160</v>
      </c>
      <c r="C74" s="3" t="s">
        <v>11</v>
      </c>
      <c r="D74" s="4">
        <v>30</v>
      </c>
      <c r="E74" s="12" t="s">
        <v>25</v>
      </c>
      <c r="F74" s="4" t="s">
        <v>68</v>
      </c>
    </row>
    <row r="75" spans="2:6" s="5" customFormat="1" ht="15.75" x14ac:dyDescent="0.25">
      <c r="B75" s="2">
        <v>46160</v>
      </c>
      <c r="C75" s="3" t="s">
        <v>14</v>
      </c>
      <c r="D75" s="4">
        <v>77</v>
      </c>
      <c r="E75" s="12" t="s">
        <v>15</v>
      </c>
      <c r="F75" s="4" t="s">
        <v>69</v>
      </c>
    </row>
    <row r="76" spans="2:6" s="5" customFormat="1" ht="15.75" x14ac:dyDescent="0.25">
      <c r="B76" s="2">
        <v>46161</v>
      </c>
      <c r="C76" s="3" t="s">
        <v>5</v>
      </c>
      <c r="D76" s="4">
        <v>347</v>
      </c>
      <c r="E76" s="12" t="s">
        <v>6</v>
      </c>
      <c r="F76" s="4" t="s">
        <v>70</v>
      </c>
    </row>
    <row r="77" spans="2:6" s="5" customFormat="1" ht="15.75" x14ac:dyDescent="0.25">
      <c r="B77" s="2">
        <v>46161</v>
      </c>
      <c r="C77" s="3" t="s">
        <v>8</v>
      </c>
      <c r="D77" s="4">
        <v>56</v>
      </c>
      <c r="E77" s="12" t="s">
        <v>23</v>
      </c>
      <c r="F77" s="4" t="s">
        <v>71</v>
      </c>
    </row>
    <row r="78" spans="2:6" s="5" customFormat="1" ht="15.75" x14ac:dyDescent="0.25">
      <c r="B78" s="2">
        <v>46161</v>
      </c>
      <c r="C78" s="3" t="s">
        <v>11</v>
      </c>
      <c r="D78" s="4">
        <v>30</v>
      </c>
      <c r="E78" s="12" t="s">
        <v>25</v>
      </c>
      <c r="F78" s="4" t="s">
        <v>68</v>
      </c>
    </row>
    <row r="79" spans="2:6" s="5" customFormat="1" ht="15.75" x14ac:dyDescent="0.25">
      <c r="B79" s="2">
        <v>46161</v>
      </c>
      <c r="C79" s="3" t="s">
        <v>14</v>
      </c>
      <c r="D79" s="4">
        <v>78</v>
      </c>
      <c r="E79" s="12" t="s">
        <v>15</v>
      </c>
      <c r="F79" s="4" t="s">
        <v>72</v>
      </c>
    </row>
    <row r="80" spans="2:6" s="5" customFormat="1" ht="15.75" x14ac:dyDescent="0.25">
      <c r="B80" s="2">
        <v>46162</v>
      </c>
      <c r="C80" s="3" t="s">
        <v>5</v>
      </c>
      <c r="D80" s="4">
        <v>349</v>
      </c>
      <c r="E80" s="12" t="s">
        <v>6</v>
      </c>
      <c r="F80" s="4" t="s">
        <v>73</v>
      </c>
    </row>
    <row r="81" spans="2:6" s="5" customFormat="1" ht="15.75" x14ac:dyDescent="0.25">
      <c r="B81" s="2">
        <v>46162</v>
      </c>
      <c r="C81" s="3" t="s">
        <v>8</v>
      </c>
      <c r="D81" s="4">
        <v>56</v>
      </c>
      <c r="E81" s="12" t="s">
        <v>23</v>
      </c>
      <c r="F81" s="4" t="s">
        <v>71</v>
      </c>
    </row>
    <row r="82" spans="2:6" s="5" customFormat="1" ht="15.75" x14ac:dyDescent="0.25">
      <c r="B82" s="2">
        <v>46162</v>
      </c>
      <c r="C82" s="3" t="s">
        <v>11</v>
      </c>
      <c r="D82" s="4">
        <v>30</v>
      </c>
      <c r="E82" s="12" t="s">
        <v>25</v>
      </c>
      <c r="F82" s="4" t="s">
        <v>68</v>
      </c>
    </row>
    <row r="83" spans="2:6" s="5" customFormat="1" ht="15.75" x14ac:dyDescent="0.25">
      <c r="B83" s="2">
        <v>46162</v>
      </c>
      <c r="C83" s="3" t="s">
        <v>14</v>
      </c>
      <c r="D83" s="4">
        <v>78</v>
      </c>
      <c r="E83" s="12" t="s">
        <v>15</v>
      </c>
      <c r="F83" s="4" t="s">
        <v>72</v>
      </c>
    </row>
    <row r="84" spans="2:6" s="5" customFormat="1" ht="15.75" x14ac:dyDescent="0.25">
      <c r="B84" s="2">
        <v>46163</v>
      </c>
      <c r="C84" s="3" t="s">
        <v>5</v>
      </c>
      <c r="D84" s="4">
        <v>351</v>
      </c>
      <c r="E84" s="12" t="s">
        <v>6</v>
      </c>
      <c r="F84" s="4" t="s">
        <v>74</v>
      </c>
    </row>
    <row r="85" spans="2:6" s="5" customFormat="1" ht="15.75" x14ac:dyDescent="0.25">
      <c r="B85" s="2">
        <v>46163</v>
      </c>
      <c r="C85" s="3" t="s">
        <v>8</v>
      </c>
      <c r="D85" s="4">
        <v>56</v>
      </c>
      <c r="E85" s="12" t="s">
        <v>23</v>
      </c>
      <c r="F85" s="4" t="s">
        <v>71</v>
      </c>
    </row>
    <row r="86" spans="2:6" s="5" customFormat="1" ht="15.75" x14ac:dyDescent="0.25">
      <c r="B86" s="2">
        <v>46163</v>
      </c>
      <c r="C86" s="3" t="s">
        <v>11</v>
      </c>
      <c r="D86" s="4">
        <v>30</v>
      </c>
      <c r="E86" s="12" t="s">
        <v>25</v>
      </c>
      <c r="F86" s="4" t="s">
        <v>68</v>
      </c>
    </row>
    <row r="87" spans="2:6" s="5" customFormat="1" ht="15.75" x14ac:dyDescent="0.25">
      <c r="B87" s="2">
        <v>46163</v>
      </c>
      <c r="C87" s="3" t="s">
        <v>14</v>
      </c>
      <c r="D87" s="4">
        <v>79</v>
      </c>
      <c r="E87" s="12" t="s">
        <v>15</v>
      </c>
      <c r="F87" s="4" t="s">
        <v>75</v>
      </c>
    </row>
    <row r="88" spans="2:6" s="5" customFormat="1" ht="15.75" x14ac:dyDescent="0.25">
      <c r="B88" s="2">
        <v>46164</v>
      </c>
      <c r="C88" s="3" t="s">
        <v>5</v>
      </c>
      <c r="D88" s="4">
        <v>695</v>
      </c>
      <c r="E88" s="12" t="s">
        <v>6</v>
      </c>
      <c r="F88" s="4" t="s">
        <v>76</v>
      </c>
    </row>
    <row r="89" spans="2:6" s="5" customFormat="1" ht="15.75" x14ac:dyDescent="0.25">
      <c r="B89" s="2">
        <v>46164</v>
      </c>
      <c r="C89" s="3" t="s">
        <v>8</v>
      </c>
      <c r="D89" s="4">
        <v>153</v>
      </c>
      <c r="E89" s="12" t="s">
        <v>9</v>
      </c>
      <c r="F89" s="4" t="s">
        <v>77</v>
      </c>
    </row>
    <row r="90" spans="2:6" s="5" customFormat="1" ht="15.75" x14ac:dyDescent="0.25">
      <c r="B90" s="2">
        <v>46164</v>
      </c>
      <c r="C90" s="3" t="s">
        <v>11</v>
      </c>
      <c r="D90" s="4">
        <v>68</v>
      </c>
      <c r="E90" s="12" t="s">
        <v>12</v>
      </c>
      <c r="F90" s="4" t="s">
        <v>78</v>
      </c>
    </row>
    <row r="91" spans="2:6" s="5" customFormat="1" ht="15.75" x14ac:dyDescent="0.25">
      <c r="B91" s="2">
        <v>46164</v>
      </c>
      <c r="C91" s="3" t="s">
        <v>14</v>
      </c>
      <c r="D91" s="4">
        <v>188</v>
      </c>
      <c r="E91" s="12" t="s">
        <v>15</v>
      </c>
      <c r="F91" s="4" t="s">
        <v>79</v>
      </c>
    </row>
    <row r="92" spans="2:6" s="5" customFormat="1" ht="15.75" x14ac:dyDescent="0.25">
      <c r="B92" s="2">
        <v>46165</v>
      </c>
      <c r="C92" s="3" t="s">
        <v>5</v>
      </c>
      <c r="D92" s="4">
        <v>699</v>
      </c>
      <c r="E92" s="12" t="s">
        <v>6</v>
      </c>
      <c r="F92" s="4" t="s">
        <v>80</v>
      </c>
    </row>
    <row r="93" spans="2:6" s="5" customFormat="1" ht="15.75" x14ac:dyDescent="0.25">
      <c r="B93" s="2">
        <v>46165</v>
      </c>
      <c r="C93" s="3" t="s">
        <v>8</v>
      </c>
      <c r="D93" s="4">
        <v>154</v>
      </c>
      <c r="E93" s="12" t="s">
        <v>9</v>
      </c>
      <c r="F93" s="4" t="s">
        <v>81</v>
      </c>
    </row>
    <row r="94" spans="2:6" s="5" customFormat="1" ht="15.75" x14ac:dyDescent="0.25">
      <c r="B94" s="2">
        <v>46165</v>
      </c>
      <c r="C94" s="3" t="s">
        <v>11</v>
      </c>
      <c r="D94" s="4">
        <v>68</v>
      </c>
      <c r="E94" s="12" t="s">
        <v>12</v>
      </c>
      <c r="F94" s="4" t="s">
        <v>78</v>
      </c>
    </row>
    <row r="95" spans="2:6" s="5" customFormat="1" ht="15.75" x14ac:dyDescent="0.25">
      <c r="B95" s="2">
        <v>46165</v>
      </c>
      <c r="C95" s="3" t="s">
        <v>14</v>
      </c>
      <c r="D95" s="4">
        <v>189</v>
      </c>
      <c r="E95" s="12" t="s">
        <v>15</v>
      </c>
      <c r="F95" s="4" t="s">
        <v>82</v>
      </c>
    </row>
    <row r="96" spans="2:6" s="5" customFormat="1" ht="15.75" x14ac:dyDescent="0.25">
      <c r="B96" s="2">
        <v>46166</v>
      </c>
      <c r="C96" s="3" t="s">
        <v>5</v>
      </c>
      <c r="D96" s="4">
        <v>703</v>
      </c>
      <c r="E96" s="12" t="s">
        <v>6</v>
      </c>
      <c r="F96" s="4" t="s">
        <v>83</v>
      </c>
    </row>
    <row r="97" spans="2:6" s="5" customFormat="1" ht="15.75" x14ac:dyDescent="0.25">
      <c r="B97" s="2">
        <v>46166</v>
      </c>
      <c r="C97" s="3" t="s">
        <v>8</v>
      </c>
      <c r="D97" s="4">
        <v>155</v>
      </c>
      <c r="E97" s="12" t="s">
        <v>9</v>
      </c>
      <c r="F97" s="4" t="s">
        <v>84</v>
      </c>
    </row>
    <row r="98" spans="2:6" s="5" customFormat="1" ht="15.75" x14ac:dyDescent="0.25">
      <c r="B98" s="2">
        <v>46166</v>
      </c>
      <c r="C98" s="3" t="s">
        <v>11</v>
      </c>
      <c r="D98" s="4">
        <v>69</v>
      </c>
      <c r="E98" s="12" t="s">
        <v>12</v>
      </c>
      <c r="F98" s="4" t="s">
        <v>85</v>
      </c>
    </row>
    <row r="99" spans="2:6" s="5" customFormat="1" ht="15.75" x14ac:dyDescent="0.25">
      <c r="B99" s="2">
        <v>46166</v>
      </c>
      <c r="C99" s="3" t="s">
        <v>14</v>
      </c>
      <c r="D99" s="4">
        <v>190</v>
      </c>
      <c r="E99" s="12" t="s">
        <v>15</v>
      </c>
      <c r="F99" s="4" t="s">
        <v>86</v>
      </c>
    </row>
    <row r="100" spans="2:6" ht="15.75" x14ac:dyDescent="0.25">
      <c r="B100" s="2"/>
      <c r="C100" s="8" t="s">
        <v>91</v>
      </c>
      <c r="D100" s="8">
        <f>SUBTOTAL(109,D4:D99)</f>
        <v>18395</v>
      </c>
      <c r="E100" s="12"/>
      <c r="F100" s="4"/>
    </row>
  </sheetData>
  <pageMargins left="0.7" right="0.7" top="0.75" bottom="0.75" header="0.3" footer="0.3"/>
  <pageSetup orientation="portrait" verticalDpi="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26"/>
  <sheetViews>
    <sheetView workbookViewId="0">
      <selection activeCell="I21" sqref="I21"/>
    </sheetView>
  </sheetViews>
  <sheetFormatPr defaultRowHeight="15" x14ac:dyDescent="0.25"/>
  <cols>
    <col min="1" max="1" width="15.42578125" customWidth="1"/>
    <col min="2" max="2" width="19.85546875" customWidth="1"/>
    <col min="3" max="3" width="20.140625" customWidth="1"/>
    <col min="4" max="4" width="19.85546875" customWidth="1"/>
    <col min="5" max="5" width="20.140625" customWidth="1"/>
    <col min="6" max="6" width="19.85546875" customWidth="1"/>
    <col min="7" max="7" width="20.140625" customWidth="1"/>
    <col min="8" max="8" width="19.85546875" customWidth="1"/>
    <col min="9" max="9" width="20.140625" customWidth="1"/>
    <col min="10" max="10" width="19.85546875" customWidth="1"/>
    <col min="11" max="11" width="20.140625" customWidth="1"/>
    <col min="12" max="12" width="19.85546875" customWidth="1"/>
    <col min="13" max="13" width="20.140625" customWidth="1"/>
    <col min="14" max="14" width="19.85546875" bestFit="1" customWidth="1"/>
    <col min="15" max="15" width="20.140625" bestFit="1" customWidth="1"/>
    <col min="16" max="16" width="24.85546875" bestFit="1" customWidth="1"/>
    <col min="17" max="17" width="25" bestFit="1" customWidth="1"/>
    <col min="18" max="28" width="9.7109375" bestFit="1" customWidth="1"/>
    <col min="29" max="29" width="7.28515625" customWidth="1"/>
    <col min="30" max="30" width="11.28515625" bestFit="1" customWidth="1"/>
  </cols>
  <sheetData>
    <row r="3" spans="2:6" ht="15.75" x14ac:dyDescent="0.25">
      <c r="B3" s="20" t="s">
        <v>94</v>
      </c>
      <c r="C3" s="20"/>
      <c r="E3" s="20" t="s">
        <v>97</v>
      </c>
      <c r="F3" s="20"/>
    </row>
    <row r="4" spans="2:6" x14ac:dyDescent="0.25">
      <c r="B4" s="9" t="s">
        <v>0</v>
      </c>
      <c r="C4" t="s">
        <v>93</v>
      </c>
      <c r="E4" s="18" t="s">
        <v>0</v>
      </c>
      <c r="F4" t="s">
        <v>93</v>
      </c>
    </row>
    <row r="6" spans="2:6" x14ac:dyDescent="0.25">
      <c r="B6" s="9" t="s">
        <v>87</v>
      </c>
      <c r="C6" t="s">
        <v>88</v>
      </c>
      <c r="E6" s="9" t="s">
        <v>1</v>
      </c>
      <c r="F6" t="s">
        <v>90</v>
      </c>
    </row>
    <row r="7" spans="2:6" x14ac:dyDescent="0.25">
      <c r="B7" s="7" t="s">
        <v>8</v>
      </c>
      <c r="C7" s="10">
        <v>2380</v>
      </c>
      <c r="E7" s="7" t="s">
        <v>8</v>
      </c>
      <c r="F7" s="10">
        <v>24</v>
      </c>
    </row>
    <row r="8" spans="2:6" x14ac:dyDescent="0.25">
      <c r="B8" s="7" t="s">
        <v>5</v>
      </c>
      <c r="C8" s="10">
        <v>11877</v>
      </c>
      <c r="E8" s="7" t="s">
        <v>5</v>
      </c>
      <c r="F8" s="10">
        <v>24</v>
      </c>
    </row>
    <row r="9" spans="2:6" x14ac:dyDescent="0.25">
      <c r="B9" s="7" t="s">
        <v>11</v>
      </c>
      <c r="C9" s="10">
        <v>1113</v>
      </c>
      <c r="E9" s="7" t="s">
        <v>11</v>
      </c>
      <c r="F9" s="10">
        <v>24</v>
      </c>
    </row>
    <row r="10" spans="2:6" x14ac:dyDescent="0.25">
      <c r="B10" s="7" t="s">
        <v>14</v>
      </c>
      <c r="C10" s="10">
        <v>3025</v>
      </c>
      <c r="E10" s="7" t="s">
        <v>14</v>
      </c>
      <c r="F10" s="10">
        <v>24</v>
      </c>
    </row>
    <row r="11" spans="2:6" x14ac:dyDescent="0.25">
      <c r="B11" s="7" t="s">
        <v>91</v>
      </c>
      <c r="C11" s="10">
        <v>18395</v>
      </c>
      <c r="E11" s="19" t="s">
        <v>91</v>
      </c>
      <c r="F11" s="17"/>
    </row>
    <row r="12" spans="2:6" x14ac:dyDescent="0.25">
      <c r="B12" s="7" t="s">
        <v>89</v>
      </c>
      <c r="C12" s="10">
        <v>36790</v>
      </c>
      <c r="E12" s="7" t="s">
        <v>89</v>
      </c>
      <c r="F12" s="10">
        <v>96</v>
      </c>
    </row>
    <row r="16" spans="2:6" ht="15.75" x14ac:dyDescent="0.25">
      <c r="C16" s="20" t="s">
        <v>98</v>
      </c>
      <c r="D16" s="20"/>
      <c r="E16" s="20"/>
    </row>
    <row r="17" spans="3:5" x14ac:dyDescent="0.25">
      <c r="C17" s="9" t="s">
        <v>0</v>
      </c>
      <c r="D17" t="s">
        <v>93</v>
      </c>
    </row>
    <row r="19" spans="3:5" x14ac:dyDescent="0.25">
      <c r="C19" s="18" t="s">
        <v>1</v>
      </c>
      <c r="D19" t="s">
        <v>88</v>
      </c>
      <c r="E19" t="s">
        <v>90</v>
      </c>
    </row>
    <row r="20" spans="3:5" x14ac:dyDescent="0.25">
      <c r="C20" s="7" t="s">
        <v>8</v>
      </c>
      <c r="D20" s="10">
        <v>2380</v>
      </c>
      <c r="E20" s="10">
        <v>24</v>
      </c>
    </row>
    <row r="21" spans="3:5" x14ac:dyDescent="0.25">
      <c r="C21" s="7" t="s">
        <v>5</v>
      </c>
      <c r="D21" s="10">
        <v>11877</v>
      </c>
      <c r="E21" s="10">
        <v>24</v>
      </c>
    </row>
    <row r="22" spans="3:5" x14ac:dyDescent="0.25">
      <c r="C22" s="7" t="s">
        <v>11</v>
      </c>
      <c r="D22" s="10">
        <v>1113</v>
      </c>
      <c r="E22" s="10">
        <v>24</v>
      </c>
    </row>
    <row r="23" spans="3:5" x14ac:dyDescent="0.25">
      <c r="C23" s="7" t="s">
        <v>14</v>
      </c>
      <c r="D23" s="10">
        <v>3025</v>
      </c>
      <c r="E23" s="10">
        <v>24</v>
      </c>
    </row>
    <row r="24" spans="3:5" x14ac:dyDescent="0.25">
      <c r="C24" s="7" t="s">
        <v>91</v>
      </c>
      <c r="D24" s="10">
        <v>18395</v>
      </c>
      <c r="E24" s="10"/>
    </row>
    <row r="25" spans="3:5" x14ac:dyDescent="0.25">
      <c r="C25" s="16" t="s">
        <v>92</v>
      </c>
      <c r="D25" s="10">
        <v>18395</v>
      </c>
      <c r="E25" s="10"/>
    </row>
    <row r="26" spans="3:5" x14ac:dyDescent="0.25">
      <c r="C26" s="7" t="s">
        <v>89</v>
      </c>
      <c r="D26" s="10">
        <v>36790</v>
      </c>
      <c r="E26" s="10">
        <v>96</v>
      </c>
    </row>
  </sheetData>
  <mergeCells count="3">
    <mergeCell ref="B3:C3"/>
    <mergeCell ref="E3:F3"/>
    <mergeCell ref="C16:E16"/>
  </mergeCells>
  <pageMargins left="0.7" right="0.7" top="0.75" bottom="0.75" header="0.3" footer="0.3"/>
  <pageSetup orientation="portrait" verticalDpi="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U8" sqref="U8"/>
    </sheetView>
  </sheetViews>
  <sheetFormatPr defaultRowHeight="15" x14ac:dyDescent="0.25"/>
  <cols>
    <col min="1" max="1" width="9.85546875" customWidth="1"/>
    <col min="2" max="2" width="10.28515625" customWidth="1"/>
    <col min="3" max="5" width="9.28515625" bestFit="1" customWidth="1"/>
    <col min="6" max="7" width="7.7109375" customWidth="1"/>
    <col min="8" max="8" width="7.28515625" customWidth="1"/>
    <col min="9" max="9" width="9.85546875" customWidth="1"/>
  </cols>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 Data</vt:lpstr>
      <vt:lpstr>Pivot Tables</vt:lpstr>
      <vt:lpstr>Sales 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2026-05-25T08:53:31Z</dcterms:created>
  <dcterms:modified xsi:type="dcterms:W3CDTF">2026-05-25T11:20:32Z</dcterms:modified>
</cp:coreProperties>
</file>